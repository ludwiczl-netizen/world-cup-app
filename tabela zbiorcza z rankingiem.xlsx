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9040" windowHeight="15720" tabRatio="948"/>
  </bookViews>
  <sheets>
    <sheet name="Ranking" sheetId="1" r:id="rId1"/>
    <sheet name="Typy_Zbiorcze" sheetId="2" r:id="rId2"/>
    <sheet name="Wyniki" sheetId="3" r:id="rId3"/>
    <sheet name="Karolek Asi" sheetId="4" r:id="rId4"/>
    <sheet name="Janusz Soko" sheetId="5" r:id="rId5"/>
    <sheet name="Michał Klaudii" sheetId="6" r:id="rId6"/>
    <sheet name="Monika Soko" sheetId="7" r:id="rId7"/>
    <sheet name="Adam" sheetId="8" r:id="rId8"/>
    <sheet name="Ola L" sheetId="9" r:id="rId9"/>
    <sheet name="Ola R" sheetId="10" r:id="rId10"/>
    <sheet name="Anita" sheetId="11" r:id="rId11"/>
    <sheet name="Agata" sheetId="12" r:id="rId12"/>
    <sheet name="Bartosz" sheetId="13" r:id="rId13"/>
    <sheet name="Dominika" sheetId="14" r:id="rId14"/>
    <sheet name="Ela G" sheetId="15" r:id="rId15"/>
    <sheet name="Ela S" sheetId="16" r:id="rId16"/>
    <sheet name="Asia" sheetId="17" r:id="rId17"/>
    <sheet name="Kasia D" sheetId="18" r:id="rId18"/>
    <sheet name="Kasia K" sheetId="19" r:id="rId19"/>
    <sheet name="Karol K" sheetId="20" r:id="rId20"/>
    <sheet name="Klaudia" sheetId="21" r:id="rId21"/>
    <sheet name="Magdalena" sheetId="22" r:id="rId22"/>
    <sheet name="Marzena" sheetId="23" r:id="rId23"/>
    <sheet name="Marta" sheetId="24" r:id="rId24"/>
    <sheet name="Instrukcja" sheetId="25" r:id="rId25"/>
    <sheet name="Monika SP" sheetId="26" r:id="rId26"/>
    <sheet name="Maja" sheetId="27" r:id="rId27"/>
    <sheet name="Paweł J" sheetId="28" r:id="rId28"/>
    <sheet name="Przemek" sheetId="29" r:id="rId29"/>
    <sheet name="Paweł P" sheetId="30" r:id="rId30"/>
    <sheet name="Paulina" sheetId="31" r:id="rId31"/>
    <sheet name="Sylwia G" sheetId="32" r:id="rId32"/>
    <sheet name="Sylwia CRS" sheetId="33" r:id="rId33"/>
    <sheet name="Vadym" sheetId="34" r:id="rId34"/>
  </sheets>
  <calcPr calcId="144525"/>
</workbook>
</file>

<file path=xl/calcChain.xml><?xml version="1.0" encoding="utf-8"?>
<calcChain xmlns="http://schemas.openxmlformats.org/spreadsheetml/2006/main">
  <c r="C73" i="34" l="1"/>
  <c r="C72" i="34"/>
  <c r="C71" i="34"/>
  <c r="C70" i="34"/>
  <c r="C69" i="34"/>
  <c r="C68" i="34"/>
  <c r="C67" i="34"/>
  <c r="C66" i="34"/>
  <c r="C65" i="34"/>
  <c r="C64" i="34"/>
  <c r="C63" i="34"/>
  <c r="C62" i="34"/>
  <c r="C61" i="34"/>
  <c r="C60" i="34"/>
  <c r="C59" i="34"/>
  <c r="C58" i="34"/>
  <c r="C57" i="34"/>
  <c r="C56" i="34"/>
  <c r="C55" i="34"/>
  <c r="C54" i="34"/>
  <c r="C53" i="34"/>
  <c r="C52" i="34"/>
  <c r="C51" i="34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  <c r="C3" i="34"/>
  <c r="C2" i="34"/>
  <c r="D74" i="34" s="1"/>
  <c r="C73" i="33"/>
  <c r="C72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2" i="33"/>
  <c r="D74" i="33" s="1"/>
  <c r="C73" i="32"/>
  <c r="C72" i="32"/>
  <c r="C71" i="32"/>
  <c r="C70" i="32"/>
  <c r="C69" i="32"/>
  <c r="C68" i="32"/>
  <c r="C67" i="32"/>
  <c r="C66" i="32"/>
  <c r="C65" i="32"/>
  <c r="C64" i="32"/>
  <c r="C63" i="32"/>
  <c r="C62" i="32"/>
  <c r="C61" i="32"/>
  <c r="C60" i="32"/>
  <c r="C59" i="32"/>
  <c r="C58" i="32"/>
  <c r="C57" i="32"/>
  <c r="C56" i="32"/>
  <c r="C55" i="32"/>
  <c r="C54" i="32"/>
  <c r="C53" i="32"/>
  <c r="C52" i="32"/>
  <c r="C51" i="32"/>
  <c r="C50" i="32"/>
  <c r="C49" i="32"/>
  <c r="C48" i="32"/>
  <c r="C47" i="32"/>
  <c r="C46" i="32"/>
  <c r="C45" i="32"/>
  <c r="C44" i="32"/>
  <c r="C43" i="32"/>
  <c r="C42" i="32"/>
  <c r="C41" i="32"/>
  <c r="C40" i="32"/>
  <c r="C39" i="32"/>
  <c r="C38" i="32"/>
  <c r="C37" i="32"/>
  <c r="C36" i="32"/>
  <c r="C35" i="32"/>
  <c r="C34" i="32"/>
  <c r="C33" i="32"/>
  <c r="C32" i="32"/>
  <c r="C31" i="32"/>
  <c r="C30" i="32"/>
  <c r="C29" i="32"/>
  <c r="C28" i="32"/>
  <c r="C27" i="32"/>
  <c r="C26" i="32"/>
  <c r="C25" i="32"/>
  <c r="C24" i="32"/>
  <c r="C23" i="32"/>
  <c r="C22" i="32"/>
  <c r="C21" i="32"/>
  <c r="C20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C5" i="32"/>
  <c r="C4" i="32"/>
  <c r="C3" i="32"/>
  <c r="C2" i="32"/>
  <c r="D74" i="32" s="1"/>
  <c r="C73" i="31"/>
  <c r="C72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D74" i="31" s="1"/>
  <c r="C73" i="30"/>
  <c r="C72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C4" i="30"/>
  <c r="C3" i="30"/>
  <c r="C2" i="30"/>
  <c r="D74" i="30" s="1"/>
  <c r="C73" i="29"/>
  <c r="C72" i="29"/>
  <c r="C71" i="29"/>
  <c r="C70" i="29"/>
  <c r="C69" i="29"/>
  <c r="C68" i="29"/>
  <c r="C67" i="29"/>
  <c r="C66" i="29"/>
  <c r="C65" i="29"/>
  <c r="C64" i="29"/>
  <c r="C63" i="29"/>
  <c r="C62" i="29"/>
  <c r="C61" i="29"/>
  <c r="C60" i="29"/>
  <c r="C59" i="29"/>
  <c r="C58" i="29"/>
  <c r="C57" i="29"/>
  <c r="C56" i="29"/>
  <c r="C55" i="29"/>
  <c r="C54" i="29"/>
  <c r="C53" i="29"/>
  <c r="C52" i="29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C2" i="29"/>
  <c r="D74" i="29" s="1"/>
  <c r="C73" i="28"/>
  <c r="C72" i="28"/>
  <c r="C71" i="28"/>
  <c r="C70" i="28"/>
  <c r="C69" i="28"/>
  <c r="C68" i="28"/>
  <c r="C67" i="28"/>
  <c r="C66" i="28"/>
  <c r="C65" i="28"/>
  <c r="C64" i="28"/>
  <c r="C63" i="28"/>
  <c r="C62" i="28"/>
  <c r="C61" i="28"/>
  <c r="C60" i="28"/>
  <c r="C59" i="28"/>
  <c r="C58" i="28"/>
  <c r="C57" i="28"/>
  <c r="C56" i="28"/>
  <c r="C55" i="28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C2" i="28"/>
  <c r="D74" i="28" s="1"/>
  <c r="C73" i="27"/>
  <c r="C72" i="27"/>
  <c r="C71" i="27"/>
  <c r="C70" i="27"/>
  <c r="C69" i="27"/>
  <c r="C68" i="27"/>
  <c r="C67" i="27"/>
  <c r="C66" i="27"/>
  <c r="C65" i="27"/>
  <c r="C64" i="27"/>
  <c r="C63" i="27"/>
  <c r="C62" i="27"/>
  <c r="C61" i="27"/>
  <c r="C60" i="27"/>
  <c r="C59" i="27"/>
  <c r="C58" i="27"/>
  <c r="C57" i="27"/>
  <c r="C56" i="27"/>
  <c r="C55" i="27"/>
  <c r="C54" i="27"/>
  <c r="C53" i="27"/>
  <c r="C52" i="27"/>
  <c r="C51" i="27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" i="27"/>
  <c r="D74" i="27" s="1"/>
  <c r="C73" i="26"/>
  <c r="C72" i="26"/>
  <c r="C71" i="26"/>
  <c r="C70" i="26"/>
  <c r="C69" i="26"/>
  <c r="C68" i="26"/>
  <c r="C67" i="26"/>
  <c r="C66" i="26"/>
  <c r="C65" i="26"/>
  <c r="C64" i="26"/>
  <c r="C63" i="26"/>
  <c r="C62" i="26"/>
  <c r="C61" i="26"/>
  <c r="C60" i="26"/>
  <c r="C59" i="26"/>
  <c r="C58" i="26"/>
  <c r="C57" i="26"/>
  <c r="C56" i="26"/>
  <c r="C55" i="26"/>
  <c r="C54" i="26"/>
  <c r="C53" i="26"/>
  <c r="C52" i="26"/>
  <c r="C51" i="26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D74" i="26" s="1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2" i="24"/>
  <c r="D74" i="24" s="1"/>
  <c r="C73" i="23"/>
  <c r="C72" i="23"/>
  <c r="C71" i="23"/>
  <c r="C70" i="23"/>
  <c r="C69" i="23"/>
  <c r="C68" i="23"/>
  <c r="C67" i="23"/>
  <c r="C66" i="23"/>
  <c r="C65" i="23"/>
  <c r="C64" i="23"/>
  <c r="C63" i="23"/>
  <c r="C62" i="23"/>
  <c r="C61" i="23"/>
  <c r="C60" i="23"/>
  <c r="C59" i="23"/>
  <c r="C58" i="23"/>
  <c r="C57" i="23"/>
  <c r="C56" i="23"/>
  <c r="C55" i="23"/>
  <c r="C54" i="23"/>
  <c r="C53" i="23"/>
  <c r="C52" i="23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C4" i="23"/>
  <c r="C3" i="23"/>
  <c r="C2" i="23"/>
  <c r="D74" i="23" s="1"/>
  <c r="C73" i="22"/>
  <c r="C72" i="22"/>
  <c r="C71" i="22"/>
  <c r="C70" i="22"/>
  <c r="C69" i="22"/>
  <c r="C68" i="22"/>
  <c r="C67" i="22"/>
  <c r="C66" i="22"/>
  <c r="C65" i="22"/>
  <c r="C64" i="22"/>
  <c r="C63" i="22"/>
  <c r="C62" i="22"/>
  <c r="C61" i="22"/>
  <c r="C60" i="22"/>
  <c r="C59" i="22"/>
  <c r="C58" i="22"/>
  <c r="C57" i="22"/>
  <c r="C56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C6" i="22"/>
  <c r="C5" i="22"/>
  <c r="C4" i="22"/>
  <c r="C3" i="22"/>
  <c r="C2" i="22"/>
  <c r="D74" i="22" s="1"/>
  <c r="C73" i="2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C2" i="21"/>
  <c r="D74" i="21" s="1"/>
  <c r="C73" i="20"/>
  <c r="C72" i="20"/>
  <c r="C71" i="20"/>
  <c r="C70" i="20"/>
  <c r="C69" i="20"/>
  <c r="C68" i="20"/>
  <c r="C67" i="20"/>
  <c r="C66" i="20"/>
  <c r="C65" i="20"/>
  <c r="C64" i="20"/>
  <c r="C63" i="20"/>
  <c r="C62" i="20"/>
  <c r="C61" i="20"/>
  <c r="C60" i="20"/>
  <c r="C59" i="20"/>
  <c r="C58" i="20"/>
  <c r="C57" i="20"/>
  <c r="C56" i="20"/>
  <c r="C55" i="20"/>
  <c r="C54" i="20"/>
  <c r="C53" i="20"/>
  <c r="C52" i="20"/>
  <c r="C51" i="20"/>
  <c r="C50" i="20"/>
  <c r="C49" i="20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C2" i="20"/>
  <c r="D74" i="20" s="1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D74" i="19" s="1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  <c r="D74" i="18" s="1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D74" i="17" s="1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D74" i="16" s="1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D74" i="15" s="1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D74" i="14" s="1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D74" i="13" s="1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D74" i="12" s="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D74" i="11" s="1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D74" i="10" s="1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D74" i="9" s="1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D74" i="8" s="1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D74" i="7" s="1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D74" i="6" s="1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D74" i="5" s="1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D74" i="4" s="1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1" l="1"/>
  <c r="BW12" i="2"/>
  <c r="B12" i="2" s="1"/>
  <c r="BW14" i="2"/>
  <c r="B14" i="2" s="1"/>
  <c r="B14" i="1"/>
  <c r="B16" i="1"/>
  <c r="BW16" i="2"/>
  <c r="B16" i="2" s="1"/>
  <c r="BW18" i="2"/>
  <c r="B18" i="2" s="1"/>
  <c r="B18" i="1"/>
  <c r="BW19" i="2"/>
  <c r="B19" i="2" s="1"/>
  <c r="B19" i="1"/>
  <c r="B21" i="1"/>
  <c r="BW21" i="2"/>
  <c r="B21" i="2" s="1"/>
  <c r="BW4" i="2"/>
  <c r="B4" i="2" s="1"/>
  <c r="B4" i="1"/>
  <c r="BW31" i="2"/>
  <c r="B31" i="2" s="1"/>
  <c r="B31" i="1"/>
  <c r="B5" i="1"/>
  <c r="BW5" i="2"/>
  <c r="B5" i="2" s="1"/>
  <c r="BW24" i="2"/>
  <c r="B24" i="2" s="1"/>
  <c r="B24" i="1"/>
  <c r="BW7" i="2"/>
  <c r="B7" i="2" s="1"/>
  <c r="B7" i="1"/>
  <c r="BW2" i="2"/>
  <c r="B2" i="2" s="1"/>
  <c r="B2" i="1"/>
  <c r="BW11" i="2"/>
  <c r="B11" i="2" s="1"/>
  <c r="B11" i="1"/>
  <c r="B27" i="1"/>
  <c r="BW27" i="2"/>
  <c r="B27" i="2" s="1"/>
  <c r="BW10" i="2"/>
  <c r="B10" i="2" s="1"/>
  <c r="B10" i="1"/>
  <c r="B28" i="1"/>
  <c r="BW28" i="2"/>
  <c r="B28" i="2" s="1"/>
  <c r="BW30" i="2"/>
  <c r="B30" i="2" s="1"/>
  <c r="B30" i="1"/>
  <c r="BW13" i="2"/>
  <c r="B13" i="2" s="1"/>
  <c r="B13" i="1"/>
  <c r="B15" i="1"/>
  <c r="BW15" i="2"/>
  <c r="B15" i="2" s="1"/>
  <c r="BW17" i="2"/>
  <c r="B17" i="2" s="1"/>
  <c r="B17" i="1"/>
  <c r="BW20" i="2"/>
  <c r="B20" i="2" s="1"/>
  <c r="B20" i="1"/>
  <c r="B3" i="1"/>
  <c r="BW3" i="2"/>
  <c r="B3" i="2" s="1"/>
  <c r="BW22" i="2"/>
  <c r="B22" i="2" s="1"/>
  <c r="B22" i="1"/>
  <c r="BW23" i="2"/>
  <c r="B23" i="2" s="1"/>
  <c r="B23" i="1"/>
  <c r="B6" i="1"/>
  <c r="BW6" i="2"/>
  <c r="B6" i="2" s="1"/>
  <c r="BW25" i="2"/>
  <c r="B25" i="2" s="1"/>
  <c r="B25" i="1"/>
  <c r="B26" i="1"/>
  <c r="BW26" i="2"/>
  <c r="B26" i="2" s="1"/>
  <c r="BW8" i="2"/>
  <c r="B8" i="2" s="1"/>
  <c r="B8" i="1"/>
  <c r="BW9" i="2"/>
  <c r="B9" i="2" s="1"/>
  <c r="B9" i="1"/>
  <c r="B29" i="1"/>
  <c r="BW29" i="2"/>
  <c r="B29" i="2" s="1"/>
</calcChain>
</file>

<file path=xl/sharedStrings.xml><?xml version="1.0" encoding="utf-8"?>
<sst xmlns="http://schemas.openxmlformats.org/spreadsheetml/2006/main" count="4659" uniqueCount="177">
  <si>
    <t>Gracz</t>
  </si>
  <si>
    <t>Punkty</t>
  </si>
  <si>
    <t>Karolek Asi</t>
  </si>
  <si>
    <t>Janusz Soko</t>
  </si>
  <si>
    <t>Michał Klaudii</t>
  </si>
  <si>
    <t>Monika Soko</t>
  </si>
  <si>
    <t>Adam</t>
  </si>
  <si>
    <t>Ola L</t>
  </si>
  <si>
    <t>Ola R</t>
  </si>
  <si>
    <t>Anita</t>
  </si>
  <si>
    <t>Agata</t>
  </si>
  <si>
    <t>Bartosz</t>
  </si>
  <si>
    <t>Dominika</t>
  </si>
  <si>
    <t>Ela G</t>
  </si>
  <si>
    <t>Ela S</t>
  </si>
  <si>
    <t>Asia</t>
  </si>
  <si>
    <t>Kasia D</t>
  </si>
  <si>
    <t>Kasia K</t>
  </si>
  <si>
    <t>Karol K</t>
  </si>
  <si>
    <t>Klaudia</t>
  </si>
  <si>
    <t>Magdalena</t>
  </si>
  <si>
    <t>Marzena</t>
  </si>
  <si>
    <t>Marta</t>
  </si>
  <si>
    <t>Monika SP</t>
  </si>
  <si>
    <t>Maja</t>
  </si>
  <si>
    <t>Paweł J</t>
  </si>
  <si>
    <t>Przemek</t>
  </si>
  <si>
    <t>Paweł P</t>
  </si>
  <si>
    <t>Paulina</t>
  </si>
  <si>
    <t>Sylwia G</t>
  </si>
  <si>
    <t>Sylwia CRS</t>
  </si>
  <si>
    <t>Vadym</t>
  </si>
  <si>
    <t>Suma punktów</t>
  </si>
  <si>
    <t>Meksyk-RPA</t>
  </si>
  <si>
    <t>Korea Południowa-Czechy</t>
  </si>
  <si>
    <t>Kanada-Bośnia i Hercegowina</t>
  </si>
  <si>
    <t>USA-Paragwaj</t>
  </si>
  <si>
    <t>Katar-Szwajcaria</t>
  </si>
  <si>
    <t>Brazylia-Maroko</t>
  </si>
  <si>
    <t>Haiti-Szkocja</t>
  </si>
  <si>
    <t>Australia-Turcja</t>
  </si>
  <si>
    <t>Niemcy-Curacao</t>
  </si>
  <si>
    <t>Holandia-Japonia</t>
  </si>
  <si>
    <t>Wybrzeże Kości Słoniowej-Ekwador</t>
  </si>
  <si>
    <t>Szwecja-Tunezja</t>
  </si>
  <si>
    <t>Hiszpania-Republika Zielonego Przylądka</t>
  </si>
  <si>
    <t>Belgia-Egipt</t>
  </si>
  <si>
    <t>Arabia Saudyjska-Urugwaj</t>
  </si>
  <si>
    <t>Iran-Nowa Zelandia</t>
  </si>
  <si>
    <t>Francja-Senegal</t>
  </si>
  <si>
    <t>Irak-Norwegia</t>
  </si>
  <si>
    <t>Argentyna-Algieria</t>
  </si>
  <si>
    <t>Austria-Jordania</t>
  </si>
  <si>
    <t>Portugalia-DR Konga</t>
  </si>
  <si>
    <t>Anglia-Chorwacja</t>
  </si>
  <si>
    <t>Ghana-Panama</t>
  </si>
  <si>
    <t>Uzbekistan-Kolumbia</t>
  </si>
  <si>
    <t>Czechy-RPA</t>
  </si>
  <si>
    <t>Szwajcaria-Bośnia i Hercegowina</t>
  </si>
  <si>
    <t>Kanada-Katar</t>
  </si>
  <si>
    <t>Meksyk-Korea Południowa</t>
  </si>
  <si>
    <t>USA-Australia</t>
  </si>
  <si>
    <t>Szkocja-Maroko</t>
  </si>
  <si>
    <t>Brazylia-Haiti</t>
  </si>
  <si>
    <t>Turcja-Paragwaj</t>
  </si>
  <si>
    <t>Holandia-Szwecja</t>
  </si>
  <si>
    <t>Niemcy-Wybrzeże Kości Słoniowej</t>
  </si>
  <si>
    <t>Ekwador-Curacao</t>
  </si>
  <si>
    <t>Tunezja-Japonia</t>
  </si>
  <si>
    <t>Hiszpania-Arabia Saudyjska</t>
  </si>
  <si>
    <t>Belgia-Iran</t>
  </si>
  <si>
    <t>Urugwaj-Republika Zielonego Przylądka</t>
  </si>
  <si>
    <t>Nowa Zelandia-Egipt</t>
  </si>
  <si>
    <t>Argentyna-Austria</t>
  </si>
  <si>
    <t>Francja-Irak</t>
  </si>
  <si>
    <t>Norwegia-Senegal</t>
  </si>
  <si>
    <t>Jordania-Algieria</t>
  </si>
  <si>
    <t>Portugalia-Uzbekistan</t>
  </si>
  <si>
    <t>Anglia-Ghana</t>
  </si>
  <si>
    <t>Panama-Chorwacja</t>
  </si>
  <si>
    <t>Kolumbia-DR Konga</t>
  </si>
  <si>
    <t>Szwajcaria-Kanada</t>
  </si>
  <si>
    <t>Bośnia i Hercegowina-Katar</t>
  </si>
  <si>
    <t>Szkocja-Brazylia</t>
  </si>
  <si>
    <t>Maroko-Haiti</t>
  </si>
  <si>
    <t>Czechy-Meksyk</t>
  </si>
  <si>
    <t>RPA-Korea Południowa</t>
  </si>
  <si>
    <t>Curacao-Wybrzeże Kości Słoniowej</t>
  </si>
  <si>
    <t>Ekwador-Niemcy</t>
  </si>
  <si>
    <t>Japonia-Szwecja</t>
  </si>
  <si>
    <t>Tunezja-Holandia</t>
  </si>
  <si>
    <t>Turcja-USA</t>
  </si>
  <si>
    <t>Paragwaj-Australia</t>
  </si>
  <si>
    <t>Norwegia-Francja</t>
  </si>
  <si>
    <t>Senegal-Irak</t>
  </si>
  <si>
    <t>Republika Zielonego Przylądka-Arabia Saudyjska</t>
  </si>
  <si>
    <t>Urugwaj-Hiszpania</t>
  </si>
  <si>
    <t>Egipt-Iran</t>
  </si>
  <si>
    <t>Nowa Zelandia-Belgia</t>
  </si>
  <si>
    <t>Panama-Anglia</t>
  </si>
  <si>
    <t>Chorwacja-Ghana</t>
  </si>
  <si>
    <t>Kolumbia-Portugalia</t>
  </si>
  <si>
    <t>DR Konga-Uzbekistan</t>
  </si>
  <si>
    <t>Algieria-Austria</t>
  </si>
  <si>
    <t>Jordania-Argentyna</t>
  </si>
  <si>
    <t>Mecz</t>
  </si>
  <si>
    <t>Gol 1</t>
  </si>
  <si>
    <t>Gol 2</t>
  </si>
  <si>
    <t>Typ</t>
  </si>
  <si>
    <t>2:1</t>
  </si>
  <si>
    <t>1:1</t>
  </si>
  <si>
    <t>0:2</t>
  </si>
  <si>
    <t>2:0</t>
  </si>
  <si>
    <t>4:0</t>
  </si>
  <si>
    <t>2:2</t>
  </si>
  <si>
    <t>1:0</t>
  </si>
  <si>
    <t>3:0</t>
  </si>
  <si>
    <t>0:1</t>
  </si>
  <si>
    <t>3:1</t>
  </si>
  <si>
    <t>1:3</t>
  </si>
  <si>
    <t>0:0</t>
  </si>
  <si>
    <t>1:2</t>
  </si>
  <si>
    <t>0:3</t>
  </si>
  <si>
    <t>Suma</t>
  </si>
  <si>
    <t>3:2</t>
  </si>
  <si>
    <t>6:0</t>
  </si>
  <si>
    <t>0:4</t>
  </si>
  <si>
    <t>2:3</t>
  </si>
  <si>
    <t>4:1</t>
  </si>
  <si>
    <t>4:2</t>
  </si>
  <si>
    <t>2-1</t>
  </si>
  <si>
    <t>0-1</t>
  </si>
  <si>
    <t>0-0</t>
  </si>
  <si>
    <t>0-3</t>
  </si>
  <si>
    <t>4-1</t>
  </si>
  <si>
    <t>1-1</t>
  </si>
  <si>
    <t>6-0</t>
  </si>
  <si>
    <t>3-0</t>
  </si>
  <si>
    <t>5-0</t>
  </si>
  <si>
    <t>2-0</t>
  </si>
  <si>
    <t>0-2</t>
  </si>
  <si>
    <t>1-2</t>
  </si>
  <si>
    <t>5-1</t>
  </si>
  <si>
    <t>1-0</t>
  </si>
  <si>
    <t>3-1</t>
  </si>
  <si>
    <t>1-3</t>
  </si>
  <si>
    <t>0-4</t>
  </si>
  <si>
    <t>5:0</t>
  </si>
  <si>
    <t>4:3</t>
  </si>
  <si>
    <t>5:1</t>
  </si>
  <si>
    <t>3:3</t>
  </si>
  <si>
    <t>5:2</t>
  </si>
  <si>
    <t>2:4</t>
  </si>
  <si>
    <t>3:4</t>
  </si>
  <si>
    <t>1:4</t>
  </si>
  <si>
    <t>2:5</t>
  </si>
  <si>
    <t>7-0</t>
  </si>
  <si>
    <t>4-0</t>
  </si>
  <si>
    <t>2-2</t>
  </si>
  <si>
    <t>Zasady punktacji</t>
  </si>
  <si>
    <t>3 pkt – dokładny wynik</t>
  </si>
  <si>
    <t>1 pkt – poprawne wskazanie zwycięzcy/remisu</t>
  </si>
  <si>
    <t>0 pkt – błędny typ</t>
  </si>
  <si>
    <t>Faza grupowa zawiera 72 mecze.</t>
  </si>
  <si>
    <t>Wyniki wpisuj w arkuszu Wyniki.</t>
  </si>
  <si>
    <t>Każdy gracz wpisuje typy w swoim arkuszu w formacie np. 2:1</t>
  </si>
  <si>
    <t>5:4</t>
  </si>
  <si>
    <t>1:5</t>
  </si>
  <si>
    <t>6:2</t>
  </si>
  <si>
    <t>5:6</t>
  </si>
  <si>
    <t>4:5</t>
  </si>
  <si>
    <t>3:5</t>
  </si>
  <si>
    <t>7:0</t>
  </si>
  <si>
    <t>0:5</t>
  </si>
  <si>
    <t>9:0</t>
  </si>
  <si>
    <t>0:6</t>
  </si>
  <si>
    <t>8:0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</si>
</sst>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5]General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  <charset val="238"/>
    </font>
    <font>
      <b/>
      <sz val="11"/>
      <color rgb="FFFFFFFF"/>
      <name val="Calibri"/>
      <family val="1"/>
    </font>
    <font>
      <sz val="11"/>
      <name val="Calibri"/>
      <family val="1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1"/>
      <color rgb="FFFFFFFF"/>
      <name val="Calibri1"/>
      <charset val="238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  <fill>
      <patternFill patternType="solid">
        <fgColor rgb="FF99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164" fontId="10" fillId="0" borderId="0"/>
  </cellStyleXfs>
  <cellXfs count="34">
    <xf numFmtId="0" fontId="0" fillId="0" borderId="0" xfId="0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2" borderId="0" xfId="0" applyFont="1" applyFill="1"/>
    <xf numFmtId="0" fontId="0" fillId="0" borderId="0" xfId="0" applyAlignment="1">
      <alignment textRotation="90"/>
    </xf>
    <xf numFmtId="49" fontId="0" fillId="0" borderId="0" xfId="0" applyNumberFormat="1"/>
    <xf numFmtId="0" fontId="5" fillId="4" borderId="0" xfId="0" applyFont="1" applyFill="1" applyAlignment="1">
      <alignment horizontal="center"/>
    </xf>
    <xf numFmtId="49" fontId="5" fillId="4" borderId="0" xfId="0" applyNumberFormat="1" applyFont="1" applyFill="1" applyAlignment="1">
      <alignment horizontal="center"/>
    </xf>
    <xf numFmtId="0" fontId="3" fillId="0" borderId="0" xfId="0" applyFont="1" applyAlignment="1">
      <alignment vertical="center"/>
    </xf>
    <xf numFmtId="0" fontId="6" fillId="5" borderId="0" xfId="0" applyFont="1" applyFill="1" applyAlignment="1">
      <alignment horizontal="center"/>
    </xf>
    <xf numFmtId="49" fontId="6" fillId="5" borderId="0" xfId="0" applyNumberFormat="1" applyFont="1" applyFill="1" applyAlignment="1">
      <alignment horizontal="center"/>
    </xf>
    <xf numFmtId="49" fontId="7" fillId="0" borderId="0" xfId="0" applyNumberFormat="1" applyFont="1"/>
    <xf numFmtId="0" fontId="4" fillId="4" borderId="0" xfId="1" applyFont="1" applyFill="1" applyAlignment="1">
      <alignment horizontal="center"/>
    </xf>
    <xf numFmtId="49" fontId="4" fillId="4" borderId="0" xfId="1" applyNumberFormat="1" applyFont="1" applyFill="1" applyAlignment="1">
      <alignment horizontal="center"/>
    </xf>
    <xf numFmtId="0" fontId="8" fillId="0" borderId="0" xfId="1"/>
    <xf numFmtId="49" fontId="8" fillId="0" borderId="0" xfId="1" applyNumberFormat="1"/>
    <xf numFmtId="0" fontId="2" fillId="0" borderId="0" xfId="0" applyFont="1" applyAlignment="1">
      <alignment vertical="center"/>
    </xf>
    <xf numFmtId="0" fontId="4" fillId="4" borderId="0" xfId="0" applyFont="1" applyFill="1" applyAlignment="1">
      <alignment horizontal="center"/>
    </xf>
    <xf numFmtId="49" fontId="4" fillId="4" borderId="0" xfId="0" applyNumberFormat="1" applyFont="1" applyFill="1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164" fontId="11" fillId="4" borderId="0" xfId="2" applyFont="1" applyFill="1" applyAlignment="1">
      <alignment horizontal="center"/>
    </xf>
    <xf numFmtId="49" fontId="11" fillId="4" borderId="0" xfId="2" applyNumberFormat="1" applyFont="1" applyFill="1" applyAlignment="1">
      <alignment horizontal="center"/>
    </xf>
    <xf numFmtId="164" fontId="10" fillId="0" borderId="0" xfId="2"/>
    <xf numFmtId="49" fontId="10" fillId="0" borderId="0" xfId="2" applyNumberForma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/>
    <xf numFmtId="0" fontId="12" fillId="0" borderId="2" xfId="0" applyFont="1" applyBorder="1"/>
    <xf numFmtId="0" fontId="12" fillId="0" borderId="3" xfId="0" applyFont="1" applyBorder="1"/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</cellXfs>
  <cellStyles count="3">
    <cellStyle name="Excel Built-in Normal" xfId="2"/>
    <cellStyle name="Normalny" xfId="0" builtinId="0"/>
    <cellStyle name="Normalny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H10" sqref="H10"/>
    </sheetView>
  </sheetViews>
  <sheetFormatPr defaultRowHeight="15"/>
  <cols>
    <col min="1" max="2" width="16" style="20" customWidth="1"/>
  </cols>
  <sheetData>
    <row r="1" spans="1:2">
      <c r="A1" s="3" t="s">
        <v>0</v>
      </c>
      <c r="B1" s="3" t="s">
        <v>1</v>
      </c>
    </row>
    <row r="2" spans="1:2">
      <c r="A2" t="s">
        <v>22</v>
      </c>
      <c r="B2">
        <f>Marta!D74</f>
        <v>6</v>
      </c>
    </row>
    <row r="3" spans="1:2">
      <c r="A3" t="s">
        <v>12</v>
      </c>
      <c r="B3">
        <f>Dominika!D74</f>
        <v>4</v>
      </c>
    </row>
    <row r="4" spans="1:2">
      <c r="A4" t="s">
        <v>13</v>
      </c>
      <c r="B4">
        <f>'Ela G'!D74</f>
        <v>3</v>
      </c>
    </row>
    <row r="5" spans="1:2">
      <c r="A5" t="s">
        <v>17</v>
      </c>
      <c r="B5">
        <f>'Kasia K'!D74</f>
        <v>3</v>
      </c>
    </row>
    <row r="6" spans="1:2">
      <c r="A6" t="s">
        <v>18</v>
      </c>
      <c r="B6">
        <f>'Karol K'!D74</f>
        <v>3</v>
      </c>
    </row>
    <row r="7" spans="1:2">
      <c r="A7" t="s">
        <v>21</v>
      </c>
      <c r="B7">
        <f>Marzena!D74</f>
        <v>3</v>
      </c>
    </row>
    <row r="8" spans="1:2">
      <c r="A8" t="s">
        <v>25</v>
      </c>
      <c r="B8">
        <f>'Paweł J'!D74</f>
        <v>3</v>
      </c>
    </row>
    <row r="9" spans="1:2">
      <c r="A9" t="s">
        <v>27</v>
      </c>
      <c r="B9">
        <f>'Paweł P'!D74</f>
        <v>3</v>
      </c>
    </row>
    <row r="10" spans="1:2">
      <c r="A10" t="s">
        <v>28</v>
      </c>
      <c r="B10">
        <f>Paulina!D74</f>
        <v>3</v>
      </c>
    </row>
    <row r="11" spans="1:2">
      <c r="A11" t="s">
        <v>24</v>
      </c>
      <c r="B11">
        <f>Maja!D74</f>
        <v>2</v>
      </c>
    </row>
    <row r="12" spans="1:2">
      <c r="A12" t="s">
        <v>2</v>
      </c>
      <c r="B12">
        <f>'Karolek Asi'!D74</f>
        <v>1</v>
      </c>
    </row>
    <row r="13" spans="1:2">
      <c r="A13" t="s">
        <v>3</v>
      </c>
      <c r="B13">
        <f>'Janusz Soko'!D74</f>
        <v>1</v>
      </c>
    </row>
    <row r="14" spans="1:2">
      <c r="A14" t="s">
        <v>4</v>
      </c>
      <c r="B14">
        <f>'Michał Klaudii'!D74</f>
        <v>1</v>
      </c>
    </row>
    <row r="15" spans="1:2">
      <c r="A15" t="s">
        <v>5</v>
      </c>
      <c r="B15">
        <f>'Monika Soko'!D74</f>
        <v>1</v>
      </c>
    </row>
    <row r="16" spans="1:2">
      <c r="A16" t="s">
        <v>6</v>
      </c>
      <c r="B16">
        <f>Adam!D74</f>
        <v>1</v>
      </c>
    </row>
    <row r="17" spans="1:2">
      <c r="A17" t="s">
        <v>7</v>
      </c>
      <c r="B17">
        <f>'Ola L'!D74</f>
        <v>1</v>
      </c>
    </row>
    <row r="18" spans="1:2">
      <c r="A18" t="s">
        <v>8</v>
      </c>
      <c r="B18">
        <f>'Ola R'!D74</f>
        <v>1</v>
      </c>
    </row>
    <row r="19" spans="1:2">
      <c r="A19" t="s">
        <v>9</v>
      </c>
      <c r="B19">
        <f>Anita!D74</f>
        <v>1</v>
      </c>
    </row>
    <row r="20" spans="1:2">
      <c r="A20" t="s">
        <v>10</v>
      </c>
      <c r="B20">
        <f>Agata!D74</f>
        <v>1</v>
      </c>
    </row>
    <row r="21" spans="1:2">
      <c r="A21" t="s">
        <v>11</v>
      </c>
      <c r="B21">
        <f>Bartosz!D74</f>
        <v>1</v>
      </c>
    </row>
    <row r="22" spans="1:2">
      <c r="A22" t="s">
        <v>14</v>
      </c>
      <c r="B22">
        <f>'Ela S'!D74</f>
        <v>1</v>
      </c>
    </row>
    <row r="23" spans="1:2">
      <c r="A23" t="s">
        <v>16</v>
      </c>
      <c r="B23">
        <f>'Kasia D'!D74</f>
        <v>1</v>
      </c>
    </row>
    <row r="24" spans="1:2">
      <c r="A24" t="s">
        <v>19</v>
      </c>
      <c r="B24">
        <f>Klaudia!D74</f>
        <v>1</v>
      </c>
    </row>
    <row r="25" spans="1:2">
      <c r="A25" t="s">
        <v>20</v>
      </c>
      <c r="B25">
        <f>Magdalena!D74</f>
        <v>1</v>
      </c>
    </row>
    <row r="26" spans="1:2">
      <c r="A26" t="s">
        <v>23</v>
      </c>
      <c r="B26">
        <f>'Monika SP'!D74</f>
        <v>1</v>
      </c>
    </row>
    <row r="27" spans="1:2">
      <c r="A27" t="s">
        <v>26</v>
      </c>
      <c r="B27">
        <f>Przemek!D74</f>
        <v>1</v>
      </c>
    </row>
    <row r="28" spans="1:2">
      <c r="A28" t="s">
        <v>29</v>
      </c>
      <c r="B28">
        <f>'Sylwia G'!D74</f>
        <v>1</v>
      </c>
    </row>
    <row r="29" spans="1:2">
      <c r="A29" t="s">
        <v>30</v>
      </c>
      <c r="B29">
        <f>'Sylwia CRS'!D74</f>
        <v>1</v>
      </c>
    </row>
    <row r="30" spans="1:2">
      <c r="A30" t="s">
        <v>31</v>
      </c>
      <c r="B30">
        <f>Vadym!D74</f>
        <v>1</v>
      </c>
    </row>
    <row r="31" spans="1:2">
      <c r="A31" t="s">
        <v>15</v>
      </c>
      <c r="B31">
        <f>Asia!D74</f>
        <v>0</v>
      </c>
    </row>
  </sheetData>
  <sortState ref="A2:C31">
    <sortCondition descending="1" ref="B2:B3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1"/>
  <sheetViews>
    <sheetView workbookViewId="0">
      <selection activeCell="D26" sqref="D26"/>
    </sheetView>
  </sheetViews>
  <sheetFormatPr defaultRowHeight="15"/>
  <cols>
    <col min="1" max="1" width="18.28515625" style="20" customWidth="1"/>
    <col min="2" max="2" width="10.28515625" style="26" customWidth="1"/>
    <col min="3" max="73" width="7.7109375" style="20" customWidth="1"/>
    <col min="74" max="74" width="16" style="20" customWidth="1"/>
  </cols>
  <sheetData>
    <row r="1" spans="1:75" ht="234.75" customHeight="1" thickBot="1">
      <c r="A1" s="2" t="s">
        <v>0</v>
      </c>
      <c r="B1" s="27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56</v>
      </c>
      <c r="AA1" s="4" t="s">
        <v>57</v>
      </c>
      <c r="AB1" s="4" t="s">
        <v>58</v>
      </c>
      <c r="AC1" s="4" t="s">
        <v>59</v>
      </c>
      <c r="AD1" s="4" t="s">
        <v>60</v>
      </c>
      <c r="AE1" s="4" t="s">
        <v>61</v>
      </c>
      <c r="AF1" s="4" t="s">
        <v>62</v>
      </c>
      <c r="AG1" s="4" t="s">
        <v>63</v>
      </c>
      <c r="AH1" s="4" t="s">
        <v>64</v>
      </c>
      <c r="AI1" s="4" t="s">
        <v>65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70</v>
      </c>
      <c r="AO1" s="4" t="s">
        <v>71</v>
      </c>
      <c r="AP1" s="4" t="s">
        <v>72</v>
      </c>
      <c r="AQ1" s="4" t="s">
        <v>73</v>
      </c>
      <c r="AR1" s="4" t="s">
        <v>74</v>
      </c>
      <c r="AS1" s="4" t="s">
        <v>75</v>
      </c>
      <c r="AT1" s="4" t="s">
        <v>76</v>
      </c>
      <c r="AU1" s="4" t="s">
        <v>77</v>
      </c>
      <c r="AV1" s="4" t="s">
        <v>78</v>
      </c>
      <c r="AW1" s="4" t="s">
        <v>79</v>
      </c>
      <c r="AX1" s="4" t="s">
        <v>80</v>
      </c>
      <c r="AY1" s="4" t="s">
        <v>81</v>
      </c>
      <c r="AZ1" s="4" t="s">
        <v>82</v>
      </c>
      <c r="BA1" s="4" t="s">
        <v>83</v>
      </c>
      <c r="BB1" s="4" t="s">
        <v>84</v>
      </c>
      <c r="BC1" s="4" t="s">
        <v>85</v>
      </c>
      <c r="BD1" s="4" t="s">
        <v>86</v>
      </c>
      <c r="BE1" s="4" t="s">
        <v>87</v>
      </c>
      <c r="BF1" s="4" t="s">
        <v>88</v>
      </c>
      <c r="BG1" s="4" t="s">
        <v>89</v>
      </c>
      <c r="BH1" s="4" t="s">
        <v>90</v>
      </c>
      <c r="BI1" s="4" t="s">
        <v>91</v>
      </c>
      <c r="BJ1" s="4" t="s">
        <v>92</v>
      </c>
      <c r="BK1" s="4" t="s">
        <v>93</v>
      </c>
      <c r="BL1" s="4" t="s">
        <v>94</v>
      </c>
      <c r="BM1" s="4" t="s">
        <v>95</v>
      </c>
      <c r="BN1" s="4" t="s">
        <v>96</v>
      </c>
      <c r="BO1" s="4" t="s">
        <v>97</v>
      </c>
      <c r="BP1" s="4" t="s">
        <v>98</v>
      </c>
      <c r="BQ1" s="4" t="s">
        <v>99</v>
      </c>
      <c r="BR1" s="4" t="s">
        <v>100</v>
      </c>
      <c r="BS1" s="4" t="s">
        <v>101</v>
      </c>
      <c r="BT1" s="4" t="s">
        <v>102</v>
      </c>
      <c r="BU1" s="4" t="s">
        <v>103</v>
      </c>
      <c r="BV1" s="4" t="s">
        <v>104</v>
      </c>
      <c r="BW1" s="2" t="s">
        <v>32</v>
      </c>
    </row>
    <row r="2" spans="1:75">
      <c r="A2" s="28" t="s">
        <v>22</v>
      </c>
      <c r="B2" s="31">
        <f>BW2</f>
        <v>6</v>
      </c>
      <c r="C2" t="str">
        <f>Marta!B2</f>
        <v>2-0</v>
      </c>
      <c r="D2" t="str">
        <f>Marta!B3</f>
        <v>2-1</v>
      </c>
      <c r="E2" t="str">
        <f>Marta!B4</f>
        <v>1-0</v>
      </c>
      <c r="F2" t="str">
        <f>Marta!B5</f>
        <v>1-1</v>
      </c>
      <c r="G2" t="str">
        <f>Marta!B6</f>
        <v>0-3</v>
      </c>
      <c r="H2" t="str">
        <f>Marta!B7</f>
        <v>1-1</v>
      </c>
      <c r="I2" t="str">
        <f>Marta!B8</f>
        <v>0-4</v>
      </c>
      <c r="J2" t="str">
        <f>Marta!B9</f>
        <v>0-4</v>
      </c>
      <c r="K2" t="str">
        <f>Marta!B10</f>
        <v>7-0</v>
      </c>
      <c r="L2" t="str">
        <f>Marta!B11</f>
        <v>1-1</v>
      </c>
      <c r="M2" t="str">
        <f>Marta!B12</f>
        <v>2-1</v>
      </c>
      <c r="N2" t="str">
        <f>Marta!B13</f>
        <v>1-0</v>
      </c>
      <c r="O2" t="str">
        <f>Marta!B14</f>
        <v>6-0</v>
      </c>
      <c r="P2" t="str">
        <f>Marta!B15</f>
        <v>2-0</v>
      </c>
      <c r="Q2" t="str">
        <f>Marta!B16</f>
        <v>1-1</v>
      </c>
      <c r="R2" t="str">
        <f>Marta!B17</f>
        <v>0-0</v>
      </c>
      <c r="S2" t="str">
        <f>Marta!B18</f>
        <v>3-0</v>
      </c>
      <c r="T2" t="str">
        <f>Marta!B19</f>
        <v>0-4</v>
      </c>
      <c r="U2" t="str">
        <f>Marta!B20</f>
        <v>3-1</v>
      </c>
      <c r="V2" t="str">
        <f>Marta!B21</f>
        <v>2-0</v>
      </c>
      <c r="W2" t="str">
        <f>Marta!B22</f>
        <v>4-0</v>
      </c>
      <c r="X2" t="str">
        <f>Marta!B23</f>
        <v>1-1</v>
      </c>
      <c r="Y2" t="str">
        <f>Marta!B24</f>
        <v>2-0</v>
      </c>
      <c r="Z2" t="str">
        <f>Marta!B25</f>
        <v>0-2</v>
      </c>
      <c r="AA2" t="str">
        <f>Marta!B26</f>
        <v>1-1</v>
      </c>
      <c r="AB2" t="str">
        <f>Marta!B27</f>
        <v>2-0</v>
      </c>
      <c r="AC2" t="str">
        <f>Marta!B28</f>
        <v>3-0</v>
      </c>
      <c r="AD2" t="str">
        <f>Marta!B29</f>
        <v>0-0</v>
      </c>
      <c r="AE2" t="str">
        <f>Marta!B30</f>
        <v>1-0</v>
      </c>
      <c r="AF2" t="str">
        <f>Marta!B31</f>
        <v>0-1</v>
      </c>
      <c r="AG2" t="str">
        <f>Marta!B32</f>
        <v>5-0</v>
      </c>
      <c r="AH2" t="str">
        <f>Marta!B33</f>
        <v>2-0</v>
      </c>
      <c r="AI2" t="str">
        <f>Marta!B34</f>
        <v>3-1</v>
      </c>
      <c r="AJ2" t="str">
        <f>Marta!B35</f>
        <v>2-2</v>
      </c>
      <c r="AK2" t="str">
        <f>Marta!B36</f>
        <v>3-0</v>
      </c>
      <c r="AL2" t="str">
        <f>Marta!B37</f>
        <v>0-2</v>
      </c>
      <c r="AM2" t="str">
        <f>Marta!B38</f>
        <v>2-0</v>
      </c>
      <c r="AN2" t="str">
        <f>Marta!B39</f>
        <v>3-1</v>
      </c>
      <c r="AO2" t="str">
        <f>Marta!B40</f>
        <v>3-0</v>
      </c>
      <c r="AP2" t="str">
        <f>Marta!B41</f>
        <v>0-2</v>
      </c>
      <c r="AQ2" t="str">
        <f>Marta!B42</f>
        <v>2-0</v>
      </c>
      <c r="AR2" t="str">
        <f>Marta!B43</f>
        <v>3-0</v>
      </c>
      <c r="AS2" t="str">
        <f>Marta!B44</f>
        <v>1-0</v>
      </c>
      <c r="AT2" t="str">
        <f>Marta!B45</f>
        <v>0-0</v>
      </c>
      <c r="AU2" t="str">
        <f>Marta!B46</f>
        <v>3-0</v>
      </c>
      <c r="AV2" t="str">
        <f>Marta!B47</f>
        <v>2-1</v>
      </c>
      <c r="AW2" t="str">
        <f>Marta!B48</f>
        <v>0-3</v>
      </c>
      <c r="AX2" t="str">
        <f>Marta!B49</f>
        <v>2-0</v>
      </c>
      <c r="AY2" t="str">
        <f>Marta!B50</f>
        <v>1-1</v>
      </c>
      <c r="AZ2" t="str">
        <f>Marta!B51</f>
        <v>1-0</v>
      </c>
      <c r="BA2" t="str">
        <f>Marta!B52</f>
        <v>0-2</v>
      </c>
      <c r="BB2" t="str">
        <f>Marta!B53</f>
        <v>3-0</v>
      </c>
      <c r="BC2" t="str">
        <f>Marta!B54</f>
        <v>1-1</v>
      </c>
      <c r="BD2" t="str">
        <f>Marta!B55</f>
        <v>0-2</v>
      </c>
      <c r="BE2" t="str">
        <f>Marta!B56</f>
        <v>0-2</v>
      </c>
      <c r="BF2" t="str">
        <f>Marta!B57</f>
        <v>1-2</v>
      </c>
      <c r="BG2" t="str">
        <f>Marta!B58</f>
        <v>2-1</v>
      </c>
      <c r="BH2" t="str">
        <f>Marta!B59</f>
        <v>0-3</v>
      </c>
      <c r="BI2" t="str">
        <f>Marta!B60</f>
        <v>1-0</v>
      </c>
      <c r="BJ2" t="str">
        <f>Marta!B61</f>
        <v>1-0</v>
      </c>
      <c r="BK2" t="str">
        <f>Marta!B62</f>
        <v>1-1</v>
      </c>
      <c r="BL2" t="str">
        <f>Marta!B63</f>
        <v>2-1</v>
      </c>
      <c r="BM2" t="str">
        <f>Marta!B64</f>
        <v>0-2</v>
      </c>
      <c r="BN2" t="str">
        <f>Marta!B65</f>
        <v>1-1</v>
      </c>
      <c r="BO2" t="str">
        <f>Marta!B66</f>
        <v>2-0</v>
      </c>
      <c r="BP2" t="str">
        <f>Marta!B67</f>
        <v>0-4</v>
      </c>
      <c r="BQ2" t="str">
        <f>Marta!B68</f>
        <v>0-3</v>
      </c>
      <c r="BR2" t="str">
        <f>Marta!B69</f>
        <v>1-1</v>
      </c>
      <c r="BS2" t="str">
        <f>Marta!B70</f>
        <v>0-0</v>
      </c>
      <c r="BT2" t="str">
        <f>Marta!B71</f>
        <v>1-1</v>
      </c>
      <c r="BU2" t="str">
        <f>Marta!B72</f>
        <v>0-1</v>
      </c>
      <c r="BV2" t="str">
        <f>Marta!B73</f>
        <v>0-4</v>
      </c>
      <c r="BW2">
        <f>Marta!D74</f>
        <v>6</v>
      </c>
    </row>
    <row r="3" spans="1:75">
      <c r="A3" s="29" t="s">
        <v>12</v>
      </c>
      <c r="B3" s="32">
        <f>BW3</f>
        <v>4</v>
      </c>
      <c r="C3" t="str">
        <f>Dominika!B2</f>
        <v>3:0</v>
      </c>
      <c r="D3" t="str">
        <f>Dominika!B3</f>
        <v>2:1</v>
      </c>
      <c r="E3" t="str">
        <f>Dominika!B4</f>
        <v>3:0</v>
      </c>
      <c r="F3" t="str">
        <f>Dominika!B5</f>
        <v>1:0</v>
      </c>
      <c r="G3" t="str">
        <f>Dominika!B6</f>
        <v>3:0</v>
      </c>
      <c r="H3" t="str">
        <f>Dominika!B7</f>
        <v>3:2</v>
      </c>
      <c r="I3" t="str">
        <f>Dominika!B8</f>
        <v>2:0</v>
      </c>
      <c r="J3" t="str">
        <f>Dominika!B9</f>
        <v>1:0</v>
      </c>
      <c r="K3" t="str">
        <f>Dominika!B10</f>
        <v>4:0</v>
      </c>
      <c r="L3" t="str">
        <f>Dominika!B11</f>
        <v>1:0</v>
      </c>
      <c r="M3" t="str">
        <f>Dominika!B12</f>
        <v>2:0</v>
      </c>
      <c r="N3" t="str">
        <f>Dominika!B13</f>
        <v>0:0</v>
      </c>
      <c r="O3" t="str">
        <f>Dominika!B14</f>
        <v>4:0</v>
      </c>
      <c r="P3" t="str">
        <f>Dominika!B15</f>
        <v>2:1</v>
      </c>
      <c r="Q3" t="str">
        <f>Dominika!B16</f>
        <v>1:1</v>
      </c>
      <c r="R3" t="str">
        <f>Dominika!B17</f>
        <v>1:0</v>
      </c>
      <c r="S3" t="str">
        <f>Dominika!B18</f>
        <v>3:0</v>
      </c>
      <c r="T3" t="str">
        <f>Dominika!B19</f>
        <v>2:0</v>
      </c>
      <c r="U3" t="str">
        <f>Dominika!B20</f>
        <v>3:1</v>
      </c>
      <c r="V3" t="str">
        <f>Dominika!B21</f>
        <v>1:0</v>
      </c>
      <c r="W3" t="str">
        <f>Dominika!B22</f>
        <v>3:0</v>
      </c>
      <c r="X3" t="str">
        <f>Dominika!B23</f>
        <v>1:1</v>
      </c>
      <c r="Y3" t="str">
        <f>Dominika!B24</f>
        <v>1:0</v>
      </c>
      <c r="Z3" t="str">
        <f>Dominika!B25</f>
        <v>1:0</v>
      </c>
      <c r="AA3" t="str">
        <f>Dominika!B26</f>
        <v>2:0</v>
      </c>
      <c r="AB3" t="str">
        <f>Dominika!B27</f>
        <v>3:0</v>
      </c>
      <c r="AC3" t="str">
        <f>Dominika!B28</f>
        <v>2:0</v>
      </c>
      <c r="AD3" t="str">
        <f>Dominika!B29</f>
        <v>2:1</v>
      </c>
      <c r="AE3" t="str">
        <f>Dominika!B30</f>
        <v>2:2</v>
      </c>
      <c r="AF3" t="str">
        <f>Dominika!B31</f>
        <v>2:1</v>
      </c>
      <c r="AG3" t="str">
        <f>Dominika!B32</f>
        <v>5:0</v>
      </c>
      <c r="AH3" t="str">
        <f>Dominika!B33</f>
        <v>1:0</v>
      </c>
      <c r="AI3" t="str">
        <f>Dominika!B34</f>
        <v>2:0</v>
      </c>
      <c r="AJ3" t="str">
        <f>Dominika!B35</f>
        <v>3:0</v>
      </c>
      <c r="AK3" t="str">
        <f>Dominika!B36</f>
        <v>2:0</v>
      </c>
      <c r="AL3" t="str">
        <f>Dominika!B37</f>
        <v>1:0</v>
      </c>
      <c r="AM3" t="str">
        <f>Dominika!B38</f>
        <v>3:0</v>
      </c>
      <c r="AN3" t="str">
        <f>Dominika!B39</f>
        <v>2:1</v>
      </c>
      <c r="AO3" t="str">
        <f>Dominika!B40</f>
        <v>1:1</v>
      </c>
      <c r="AP3" t="str">
        <f>Dominika!B41</f>
        <v>0:2</v>
      </c>
      <c r="AQ3" t="str">
        <f>Dominika!B42</f>
        <v>3:1</v>
      </c>
      <c r="AR3" t="str">
        <f>Dominika!B43</f>
        <v>4:0</v>
      </c>
      <c r="AS3" t="str">
        <f>Dominika!B44</f>
        <v>2:2</v>
      </c>
      <c r="AT3" t="str">
        <f>Dominika!B45</f>
        <v>0:1</v>
      </c>
      <c r="AU3" t="str">
        <f>Dominika!B46</f>
        <v>3:0</v>
      </c>
      <c r="AV3" t="str">
        <f>Dominika!B47</f>
        <v>1:2</v>
      </c>
      <c r="AW3" t="str">
        <f>Dominika!B48</f>
        <v>3:1</v>
      </c>
      <c r="AX3" t="str">
        <f>Dominika!B49</f>
        <v>0:0</v>
      </c>
      <c r="AY3" t="str">
        <f>Dominika!B50</f>
        <v>1:0</v>
      </c>
      <c r="AZ3" t="str">
        <f>Dominika!B51</f>
        <v>1:2</v>
      </c>
      <c r="BA3" t="str">
        <f>Dominika!B52</f>
        <v>3:1</v>
      </c>
      <c r="BB3" t="str">
        <f>Dominika!B53</f>
        <v>2:0</v>
      </c>
      <c r="BC3" t="str">
        <f>Dominika!B54</f>
        <v>0:2</v>
      </c>
      <c r="BD3" t="str">
        <f>Dominika!B55</f>
        <v>2:1</v>
      </c>
      <c r="BE3" t="str">
        <f>Dominika!B56</f>
        <v>0:1</v>
      </c>
      <c r="BF3" t="str">
        <f>Dominika!B57</f>
        <v>2:3</v>
      </c>
      <c r="BG3" t="str">
        <f>Dominika!B58</f>
        <v>2:0</v>
      </c>
      <c r="BH3" t="str">
        <f>Dominika!B59</f>
        <v>2:0</v>
      </c>
      <c r="BI3" t="str">
        <f>Dominika!B60</f>
        <v>1:2</v>
      </c>
      <c r="BJ3" t="str">
        <f>Dominika!B61</f>
        <v>1:1</v>
      </c>
      <c r="BK3" t="str">
        <f>Dominika!B62</f>
        <v>1:3</v>
      </c>
      <c r="BL3" t="str">
        <f>Dominika!B63</f>
        <v>1:0</v>
      </c>
      <c r="BM3" t="str">
        <f>Dominika!B64</f>
        <v>0:1</v>
      </c>
      <c r="BN3" t="str">
        <f>Dominika!B65</f>
        <v>3:0</v>
      </c>
      <c r="BO3" t="str">
        <f>Dominika!B66</f>
        <v>2:1</v>
      </c>
      <c r="BP3" t="str">
        <f>Dominika!B67</f>
        <v>0:2</v>
      </c>
      <c r="BQ3" t="str">
        <f>Dominika!B68</f>
        <v>0:3</v>
      </c>
      <c r="BR3" t="str">
        <f>Dominika!B69</f>
        <v>2:0</v>
      </c>
      <c r="BS3" t="str">
        <f>Dominika!B70</f>
        <v>2:0</v>
      </c>
      <c r="BT3" t="str">
        <f>Dominika!B71</f>
        <v>0:1</v>
      </c>
      <c r="BU3" t="str">
        <f>Dominika!B72</f>
        <v>0:0</v>
      </c>
      <c r="BV3" t="str">
        <f>Dominika!B73</f>
        <v>0:2</v>
      </c>
      <c r="BW3">
        <f>Dominika!D74</f>
        <v>4</v>
      </c>
    </row>
    <row r="4" spans="1:75">
      <c r="A4" s="29" t="s">
        <v>13</v>
      </c>
      <c r="B4" s="32">
        <f>BW4</f>
        <v>3</v>
      </c>
      <c r="C4" t="str">
        <f>'Ela G'!B2</f>
        <v>2:0</v>
      </c>
      <c r="D4" t="str">
        <f>'Ela G'!B3</f>
        <v>1:2</v>
      </c>
      <c r="E4" t="str">
        <f>'Ela G'!B4</f>
        <v>1:1</v>
      </c>
      <c r="F4" t="str">
        <f>'Ela G'!B5</f>
        <v>2:2</v>
      </c>
      <c r="G4" t="str">
        <f>'Ela G'!B6</f>
        <v>0:2</v>
      </c>
      <c r="H4" t="str">
        <f>'Ela G'!B7</f>
        <v>2:0</v>
      </c>
      <c r="I4" t="str">
        <f>'Ela G'!B8</f>
        <v>0:3</v>
      </c>
      <c r="J4" t="str">
        <f>'Ela G'!B9</f>
        <v>1:1</v>
      </c>
      <c r="K4" t="str">
        <f>'Ela G'!B10</f>
        <v>5:0</v>
      </c>
      <c r="L4" t="str">
        <f>'Ela G'!B11</f>
        <v>2:1</v>
      </c>
      <c r="M4" t="str">
        <f>'Ela G'!B12</f>
        <v>2:1</v>
      </c>
      <c r="N4" t="str">
        <f>'Ela G'!B13</f>
        <v>2:0</v>
      </c>
      <c r="O4" t="str">
        <f>'Ela G'!B14</f>
        <v>6:0</v>
      </c>
      <c r="P4" t="str">
        <f>'Ela G'!B15</f>
        <v>2:0</v>
      </c>
      <c r="Q4" t="str">
        <f>'Ela G'!B16</f>
        <v>0:3</v>
      </c>
      <c r="R4" t="str">
        <f>'Ela G'!B17</f>
        <v>1:2</v>
      </c>
      <c r="S4" t="str">
        <f>'Ela G'!B18</f>
        <v>2:1</v>
      </c>
      <c r="T4" t="str">
        <f>'Ela G'!B19</f>
        <v>0:2</v>
      </c>
      <c r="U4" t="str">
        <f>'Ela G'!B20</f>
        <v>3:1</v>
      </c>
      <c r="V4" t="str">
        <f>'Ela G'!B21</f>
        <v>2:0</v>
      </c>
      <c r="W4" t="str">
        <f>'Ela G'!B22</f>
        <v>3:1</v>
      </c>
      <c r="X4" t="str">
        <f>'Ela G'!B23</f>
        <v>2:1</v>
      </c>
      <c r="Y4" t="str">
        <f>'Ela G'!B24</f>
        <v>2:0</v>
      </c>
      <c r="Z4" t="str">
        <f>'Ela G'!B25</f>
        <v>1:3</v>
      </c>
      <c r="AA4" t="str">
        <f>'Ela G'!B26</f>
        <v>2:1</v>
      </c>
      <c r="AB4" t="str">
        <f>'Ela G'!B27</f>
        <v>2:1</v>
      </c>
      <c r="AC4" t="str">
        <f>'Ela G'!B28</f>
        <v>1:1</v>
      </c>
      <c r="AD4" t="str">
        <f>'Ela G'!B29</f>
        <v>2:1</v>
      </c>
      <c r="AE4" t="str">
        <f>'Ela G'!B30</f>
        <v>2:1</v>
      </c>
      <c r="AF4" t="str">
        <f>'Ela G'!B31</f>
        <v>0:2</v>
      </c>
      <c r="AG4" t="str">
        <f>'Ela G'!B32</f>
        <v>4:0</v>
      </c>
      <c r="AH4" t="str">
        <f>'Ela G'!B33</f>
        <v>2:2</v>
      </c>
      <c r="AI4" t="str">
        <f>'Ela G'!B34</f>
        <v>2:1</v>
      </c>
      <c r="AJ4" t="str">
        <f>'Ela G'!B35</f>
        <v>3:1</v>
      </c>
      <c r="AK4" t="str">
        <f>'Ela G'!B36</f>
        <v>2:1</v>
      </c>
      <c r="AL4" t="str">
        <f>'Ela G'!B37</f>
        <v>1:2</v>
      </c>
      <c r="AM4" t="str">
        <f>'Ela G'!B38</f>
        <v>3:1</v>
      </c>
      <c r="AN4" t="str">
        <f>'Ela G'!B39</f>
        <v>2:0</v>
      </c>
      <c r="AO4" t="str">
        <f>'Ela G'!B40</f>
        <v>4:1</v>
      </c>
      <c r="AP4" t="str">
        <f>'Ela G'!B41</f>
        <v>1:1</v>
      </c>
      <c r="AQ4" t="str">
        <f>'Ela G'!B42</f>
        <v>2:0</v>
      </c>
      <c r="AR4" t="str">
        <f>'Ela G'!B43</f>
        <v>3:0</v>
      </c>
      <c r="AS4" t="str">
        <f>'Ela G'!B44</f>
        <v>2:2</v>
      </c>
      <c r="AT4" t="str">
        <f>'Ela G'!B45</f>
        <v>0:2</v>
      </c>
      <c r="AU4" t="str">
        <f>'Ela G'!B46</f>
        <v>3:0</v>
      </c>
      <c r="AV4" t="str">
        <f>'Ela G'!B47</f>
        <v>2:2</v>
      </c>
      <c r="AW4" t="str">
        <f>'Ela G'!B48</f>
        <v>1:2</v>
      </c>
      <c r="AX4" t="str">
        <f>'Ela G'!B49</f>
        <v>3:1</v>
      </c>
      <c r="AY4" t="str">
        <f>'Ela G'!B50</f>
        <v>1:1</v>
      </c>
      <c r="AZ4" t="str">
        <f>'Ela G'!B51</f>
        <v>1:1</v>
      </c>
      <c r="BA4" t="str">
        <f>'Ela G'!B52</f>
        <v>0:2</v>
      </c>
      <c r="BB4" t="str">
        <f>'Ela G'!B53</f>
        <v>3:0</v>
      </c>
      <c r="BC4" t="str">
        <f>'Ela G'!B54</f>
        <v>1:3</v>
      </c>
      <c r="BD4" t="str">
        <f>'Ela G'!B55</f>
        <v>1:1</v>
      </c>
      <c r="BE4" t="str">
        <f>'Ela G'!B56</f>
        <v>0:2</v>
      </c>
      <c r="BF4" t="str">
        <f>'Ela G'!B57</f>
        <v>1:3</v>
      </c>
      <c r="BG4" t="str">
        <f>'Ela G'!B58</f>
        <v>1:1</v>
      </c>
      <c r="BH4" t="str">
        <f>'Ela G'!B59</f>
        <v>1:2</v>
      </c>
      <c r="BI4" t="str">
        <f>'Ela G'!B60</f>
        <v>1:2</v>
      </c>
      <c r="BJ4" t="str">
        <f>'Ela G'!B61</f>
        <v>1:1</v>
      </c>
      <c r="BK4" t="str">
        <f>'Ela G'!B62</f>
        <v>0:2</v>
      </c>
      <c r="BL4" t="str">
        <f>'Ela G'!B63</f>
        <v>2:0</v>
      </c>
      <c r="BM4" t="str">
        <f>'Ela G'!B64</f>
        <v>1:2</v>
      </c>
      <c r="BN4" t="str">
        <f>'Ela G'!B65</f>
        <v>1:1</v>
      </c>
      <c r="BO4" t="str">
        <f>'Ela G'!B66</f>
        <v>0:1</v>
      </c>
      <c r="BP4" t="str">
        <f>'Ela G'!B67</f>
        <v>0:2</v>
      </c>
      <c r="BQ4" t="str">
        <f>'Ela G'!B68</f>
        <v>0:3</v>
      </c>
      <c r="BR4" t="str">
        <f>'Ela G'!B69</f>
        <v>1:1</v>
      </c>
      <c r="BS4" t="str">
        <f>'Ela G'!B70</f>
        <v>1:1</v>
      </c>
      <c r="BT4" t="str">
        <f>'Ela G'!B71</f>
        <v>1:1</v>
      </c>
      <c r="BU4" t="str">
        <f>'Ela G'!B72</f>
        <v>1:1</v>
      </c>
      <c r="BV4" t="str">
        <f>'Ela G'!B73</f>
        <v>0:3</v>
      </c>
      <c r="BW4">
        <f>'Ela G'!D74</f>
        <v>3</v>
      </c>
    </row>
    <row r="5" spans="1:75">
      <c r="A5" s="29" t="s">
        <v>17</v>
      </c>
      <c r="B5" s="32">
        <f>BW5</f>
        <v>3</v>
      </c>
      <c r="C5" t="str">
        <f>'Kasia K'!B2</f>
        <v>2:0</v>
      </c>
      <c r="D5" t="str">
        <f>'Kasia K'!B3</f>
        <v>1:1</v>
      </c>
      <c r="E5" t="str">
        <f>'Kasia K'!B4</f>
        <v>1:1</v>
      </c>
      <c r="F5" t="str">
        <f>'Kasia K'!B5</f>
        <v>1:0</v>
      </c>
      <c r="G5" t="str">
        <f>'Kasia K'!B6</f>
        <v>0:2</v>
      </c>
      <c r="H5" t="str">
        <f>'Kasia K'!B7</f>
        <v>3:1</v>
      </c>
      <c r="I5" t="str">
        <f>'Kasia K'!B8</f>
        <v>0:1</v>
      </c>
      <c r="J5" t="str">
        <f>'Kasia K'!B9</f>
        <v>1:2</v>
      </c>
      <c r="K5" t="str">
        <f>'Kasia K'!B10</f>
        <v>5:0</v>
      </c>
      <c r="L5" t="str">
        <f>'Kasia K'!B11</f>
        <v>2:1</v>
      </c>
      <c r="M5" t="str">
        <f>'Kasia K'!B12</f>
        <v>1:1</v>
      </c>
      <c r="N5" t="str">
        <f>'Kasia K'!B13</f>
        <v>2:0</v>
      </c>
      <c r="O5" t="str">
        <f>'Kasia K'!B14</f>
        <v>3:1</v>
      </c>
      <c r="P5" t="str">
        <f>'Kasia K'!B15</f>
        <v>1:1</v>
      </c>
      <c r="Q5" t="str">
        <f>'Kasia K'!B16</f>
        <v>0:1</v>
      </c>
      <c r="R5" t="str">
        <f>'Kasia K'!B17</f>
        <v>2:0</v>
      </c>
      <c r="S5" t="str">
        <f>'Kasia K'!B18</f>
        <v>3:1</v>
      </c>
      <c r="T5" t="str">
        <f>'Kasia K'!B19</f>
        <v>0:2</v>
      </c>
      <c r="U5" t="str">
        <f>'Kasia K'!B20</f>
        <v>3:1</v>
      </c>
      <c r="V5" t="str">
        <f>'Kasia K'!B21</f>
        <v>2:0</v>
      </c>
      <c r="W5" t="str">
        <f>'Kasia K'!B22</f>
        <v>3:1</v>
      </c>
      <c r="X5" t="str">
        <f>'Kasia K'!B23</f>
        <v>2:1</v>
      </c>
      <c r="Y5" t="str">
        <f>'Kasia K'!B24</f>
        <v>2:0</v>
      </c>
      <c r="Z5" t="str">
        <f>'Kasia K'!B25</f>
        <v>0:2</v>
      </c>
      <c r="AA5" t="str">
        <f>'Kasia K'!B26</f>
        <v>1:0</v>
      </c>
      <c r="AB5" t="str">
        <f>'Kasia K'!B27</f>
        <v>1:1</v>
      </c>
      <c r="AC5" t="str">
        <f>'Kasia K'!B28</f>
        <v>1:0</v>
      </c>
      <c r="AD5" t="str">
        <f>'Kasia K'!B29</f>
        <v>1:1</v>
      </c>
      <c r="AE5" t="str">
        <f>'Kasia K'!B30</f>
        <v>2:1</v>
      </c>
      <c r="AF5" t="str">
        <f>'Kasia K'!B31</f>
        <v>1:1</v>
      </c>
      <c r="AG5" t="str">
        <f>'Kasia K'!B32</f>
        <v>4:0</v>
      </c>
      <c r="AH5" t="str">
        <f>'Kasia K'!B33</f>
        <v>1:1</v>
      </c>
      <c r="AI5" t="str">
        <f>'Kasia K'!B34</f>
        <v>1:0</v>
      </c>
      <c r="AJ5" t="str">
        <f>'Kasia K'!B35</f>
        <v>2:2</v>
      </c>
      <c r="AK5" t="str">
        <f>'Kasia K'!B36</f>
        <v>2:0</v>
      </c>
      <c r="AL5" t="str">
        <f>'Kasia K'!B37</f>
        <v>1:1</v>
      </c>
      <c r="AM5" t="str">
        <f>'Kasia K'!B38</f>
        <v>3:1</v>
      </c>
      <c r="AN5" t="str">
        <f>'Kasia K'!B39</f>
        <v>1:0</v>
      </c>
      <c r="AO5" t="str">
        <f>'Kasia K'!B40</f>
        <v>2:0</v>
      </c>
      <c r="AP5" t="str">
        <f>'Kasia K'!B41</f>
        <v>0:1</v>
      </c>
      <c r="AQ5" t="str">
        <f>'Kasia K'!B42</f>
        <v>1:1</v>
      </c>
      <c r="AR5" t="str">
        <f>'Kasia K'!B43</f>
        <v>3:0</v>
      </c>
      <c r="AS5" t="str">
        <f>'Kasia K'!B44</f>
        <v>1:1</v>
      </c>
      <c r="AT5" t="str">
        <f>'Kasia K'!B45</f>
        <v>0:0</v>
      </c>
      <c r="AU5" t="str">
        <f>'Kasia K'!B46</f>
        <v>2:0</v>
      </c>
      <c r="AV5" t="str">
        <f>'Kasia K'!B47</f>
        <v>2:0</v>
      </c>
      <c r="AW5" t="str">
        <f>'Kasia K'!B48</f>
        <v>0:2</v>
      </c>
      <c r="AX5" t="str">
        <f>'Kasia K'!B49</f>
        <v>2:0</v>
      </c>
      <c r="AY5" t="str">
        <f>'Kasia K'!B50</f>
        <v>1:1</v>
      </c>
      <c r="AZ5" t="str">
        <f>'Kasia K'!B51</f>
        <v>2:0</v>
      </c>
      <c r="BA5" t="str">
        <f>'Kasia K'!B52</f>
        <v>1:2</v>
      </c>
      <c r="BB5" t="str">
        <f>'Kasia K'!B53</f>
        <v>2:0</v>
      </c>
      <c r="BC5" t="str">
        <f>'Kasia K'!B54</f>
        <v>0:0</v>
      </c>
      <c r="BD5" t="str">
        <f>'Kasia K'!B55</f>
        <v>0:1</v>
      </c>
      <c r="BE5" t="str">
        <f>'Kasia K'!B56</f>
        <v>0:2</v>
      </c>
      <c r="BF5" t="str">
        <f>'Kasia K'!B57</f>
        <v>1:1</v>
      </c>
      <c r="BG5" t="str">
        <f>'Kasia K'!B58</f>
        <v>0:0</v>
      </c>
      <c r="BH5" t="str">
        <f>'Kasia K'!B59</f>
        <v>0:2</v>
      </c>
      <c r="BI5" t="str">
        <f>'Kasia K'!B60</f>
        <v>2:2</v>
      </c>
      <c r="BJ5" t="str">
        <f>'Kasia K'!B61</f>
        <v>1:1</v>
      </c>
      <c r="BK5" t="str">
        <f>'Kasia K'!B62</f>
        <v>1:2</v>
      </c>
      <c r="BL5" t="str">
        <f>'Kasia K'!B63</f>
        <v>2:0</v>
      </c>
      <c r="BM5" t="str">
        <f>'Kasia K'!B64</f>
        <v>0:0</v>
      </c>
      <c r="BN5" t="str">
        <f>'Kasia K'!B65</f>
        <v>2:1</v>
      </c>
      <c r="BO5" t="str">
        <f>'Kasia K'!B66</f>
        <v>1:1</v>
      </c>
      <c r="BP5" t="str">
        <f>'Kasia K'!B67</f>
        <v>0:2</v>
      </c>
      <c r="BQ5" t="str">
        <f>'Kasia K'!B68</f>
        <v>0:3</v>
      </c>
      <c r="BR5" t="str">
        <f>'Kasia K'!B69</f>
        <v>1:1</v>
      </c>
      <c r="BS5" t="str">
        <f>'Kasia K'!B70</f>
        <v>2:2</v>
      </c>
      <c r="BT5" t="str">
        <f>'Kasia K'!B71</f>
        <v>1:1</v>
      </c>
      <c r="BU5" t="str">
        <f>'Kasia K'!B72</f>
        <v>0:1</v>
      </c>
      <c r="BV5" t="str">
        <f>'Kasia K'!B73</f>
        <v>0:2</v>
      </c>
      <c r="BW5">
        <f>'Kasia K'!D74</f>
        <v>3</v>
      </c>
    </row>
    <row r="6" spans="1:75">
      <c r="A6" s="29" t="s">
        <v>18</v>
      </c>
      <c r="B6" s="32">
        <f>BW6</f>
        <v>3</v>
      </c>
      <c r="C6" t="str">
        <f>'Karol K'!B2</f>
        <v>2:0</v>
      </c>
      <c r="D6" t="str">
        <f>'Karol K'!B3</f>
        <v>1:1</v>
      </c>
      <c r="E6" t="str">
        <f>'Karol K'!B4</f>
        <v>2:1</v>
      </c>
      <c r="F6" t="str">
        <f>'Karol K'!B5</f>
        <v>2:1</v>
      </c>
      <c r="G6" t="str">
        <f>'Karol K'!B6</f>
        <v>0:2</v>
      </c>
      <c r="H6" t="str">
        <f>'Karol K'!B7</f>
        <v>2:1</v>
      </c>
      <c r="I6" t="str">
        <f>'Karol K'!B8</f>
        <v>0:2</v>
      </c>
      <c r="J6" t="str">
        <f>'Karol K'!B9</f>
        <v>1:1</v>
      </c>
      <c r="K6" t="str">
        <f>'Karol K'!B10</f>
        <v>4:0</v>
      </c>
      <c r="L6" t="str">
        <f>'Karol K'!B11</f>
        <v>2:1</v>
      </c>
      <c r="M6" t="str">
        <f>'Karol K'!B12</f>
        <v>1:1</v>
      </c>
      <c r="N6" t="str">
        <f>'Karol K'!B13</f>
        <v>2:0</v>
      </c>
      <c r="O6" t="str">
        <f>'Karol K'!B14</f>
        <v>3:0</v>
      </c>
      <c r="P6" t="str">
        <f>'Karol K'!B15</f>
        <v>2:1</v>
      </c>
      <c r="Q6" t="str">
        <f>'Karol K'!B16</f>
        <v>0:2</v>
      </c>
      <c r="R6" t="str">
        <f>'Karol K'!B17</f>
        <v>2:0</v>
      </c>
      <c r="S6" t="str">
        <f>'Karol K'!B18</f>
        <v>3:1</v>
      </c>
      <c r="T6" t="str">
        <f>'Karol K'!B19</f>
        <v>1:2</v>
      </c>
      <c r="U6" t="str">
        <f>'Karol K'!B20</f>
        <v>3:0</v>
      </c>
      <c r="V6" t="str">
        <f>'Karol K'!B21</f>
        <v>2:0</v>
      </c>
      <c r="W6" t="str">
        <f>'Karol K'!B22</f>
        <v>3:0</v>
      </c>
      <c r="X6" t="str">
        <f>'Karol K'!B23</f>
        <v>2:1</v>
      </c>
      <c r="Y6" t="str">
        <f>'Karol K'!B24</f>
        <v>2:1</v>
      </c>
      <c r="Z6" t="str">
        <f>'Karol K'!B25</f>
        <v>0:2</v>
      </c>
      <c r="AA6" t="str">
        <f>'Karol K'!B26</f>
        <v>2:0</v>
      </c>
      <c r="AB6" t="str">
        <f>'Karol K'!B27</f>
        <v>2:1</v>
      </c>
      <c r="AC6" t="str">
        <f>'Karol K'!B28</f>
        <v>2:0</v>
      </c>
      <c r="AD6" t="str">
        <f>'Karol K'!B29</f>
        <v>1:1</v>
      </c>
      <c r="AE6" t="str">
        <f>'Karol K'!B30</f>
        <v>2:0</v>
      </c>
      <c r="AF6" t="str">
        <f>'Karol K'!B31</f>
        <v>1:1</v>
      </c>
      <c r="AG6" t="str">
        <f>'Karol K'!B32</f>
        <v>4:0</v>
      </c>
      <c r="AH6" t="str">
        <f>'Karol K'!B33</f>
        <v>1:1</v>
      </c>
      <c r="AI6" t="str">
        <f>'Karol K'!B34</f>
        <v>2:1</v>
      </c>
      <c r="AJ6" t="str">
        <f>'Karol K'!B35</f>
        <v>2:0</v>
      </c>
      <c r="AK6" t="str">
        <f>'Karol K'!B36</f>
        <v>2:0</v>
      </c>
      <c r="AL6" t="str">
        <f>'Karol K'!B37</f>
        <v>1:1</v>
      </c>
      <c r="AM6" t="str">
        <f>'Karol K'!B38</f>
        <v>3:0</v>
      </c>
      <c r="AN6" t="str">
        <f>'Karol K'!B39</f>
        <v>3:1</v>
      </c>
      <c r="AO6" t="str">
        <f>'Karol K'!B40</f>
        <v>2:0</v>
      </c>
      <c r="AP6" t="str">
        <f>'Karol K'!B41</f>
        <v>0:1</v>
      </c>
      <c r="AQ6" t="str">
        <f>'Karol K'!B42</f>
        <v>2:0</v>
      </c>
      <c r="AR6" t="str">
        <f>'Karol K'!B43</f>
        <v>3:0</v>
      </c>
      <c r="AS6" t="str">
        <f>'Karol K'!B44</f>
        <v>1:1</v>
      </c>
      <c r="AT6" t="str">
        <f>'Karol K'!B45</f>
        <v>0:2</v>
      </c>
      <c r="AU6" t="str">
        <f>'Karol K'!B46</f>
        <v>3:0</v>
      </c>
      <c r="AV6" t="str">
        <f>'Karol K'!B47</f>
        <v>2:1</v>
      </c>
      <c r="AW6" t="str">
        <f>'Karol K'!B48</f>
        <v>0:2</v>
      </c>
      <c r="AX6" t="str">
        <f>'Karol K'!B49</f>
        <v>3:0</v>
      </c>
      <c r="AY6" t="str">
        <f>'Karol K'!B50</f>
        <v>1:1</v>
      </c>
      <c r="AZ6" t="str">
        <f>'Karol K'!B51</f>
        <v>2:1</v>
      </c>
      <c r="BA6" t="str">
        <f>'Karol K'!B52</f>
        <v>1:3</v>
      </c>
      <c r="BB6" t="str">
        <f>'Karol K'!B53</f>
        <v>2:0</v>
      </c>
      <c r="BC6" t="str">
        <f>'Karol K'!B54</f>
        <v>1:1</v>
      </c>
      <c r="BD6" t="str">
        <f>'Karol K'!B55</f>
        <v>0:2</v>
      </c>
      <c r="BE6" t="str">
        <f>'Karol K'!B56</f>
        <v>0:2</v>
      </c>
      <c r="BF6" t="str">
        <f>'Karol K'!B57</f>
        <v>1:2</v>
      </c>
      <c r="BG6" t="str">
        <f>'Karol K'!B58</f>
        <v>1:1</v>
      </c>
      <c r="BH6" t="str">
        <f>'Karol K'!B59</f>
        <v>0:2</v>
      </c>
      <c r="BI6" t="str">
        <f>'Karol K'!B60</f>
        <v>1:2</v>
      </c>
      <c r="BJ6" t="str">
        <f>'Karol K'!B61</f>
        <v>1:1</v>
      </c>
      <c r="BK6" t="str">
        <f>'Karol K'!B62</f>
        <v>1:2</v>
      </c>
      <c r="BL6" t="str">
        <f>'Karol K'!B63</f>
        <v>2:0</v>
      </c>
      <c r="BM6" t="str">
        <f>'Karol K'!B64</f>
        <v>1:1</v>
      </c>
      <c r="BN6" t="str">
        <f>'Karol K'!B65</f>
        <v>1:2</v>
      </c>
      <c r="BO6" t="str">
        <f>'Karol K'!B66</f>
        <v>1:1</v>
      </c>
      <c r="BP6" t="str">
        <f>'Karol K'!B67</f>
        <v>0:3</v>
      </c>
      <c r="BQ6" t="str">
        <f>'Karol K'!B68</f>
        <v>0:3</v>
      </c>
      <c r="BR6" t="str">
        <f>'Karol K'!B69</f>
        <v>2:1</v>
      </c>
      <c r="BS6" t="str">
        <f>'Karol K'!B70</f>
        <v>1:2</v>
      </c>
      <c r="BT6" t="str">
        <f>'Karol K'!B71</f>
        <v>0:1</v>
      </c>
      <c r="BU6" t="str">
        <f>'Karol K'!B72</f>
        <v>1:1</v>
      </c>
      <c r="BV6" t="str">
        <f>'Karol K'!B73</f>
        <v>0:3</v>
      </c>
      <c r="BW6">
        <f>'Karol K'!D74</f>
        <v>3</v>
      </c>
    </row>
    <row r="7" spans="1:75">
      <c r="A7" s="29" t="s">
        <v>21</v>
      </c>
      <c r="B7" s="32">
        <f>BW7</f>
        <v>3</v>
      </c>
      <c r="C7" t="str">
        <f>Marzena!B2</f>
        <v>2:0</v>
      </c>
      <c r="D7" t="str">
        <f>Marzena!B3</f>
        <v>1:1</v>
      </c>
      <c r="E7" t="str">
        <f>Marzena!B4</f>
        <v>0:1</v>
      </c>
      <c r="F7" t="str">
        <f>Marzena!B5</f>
        <v>1:2</v>
      </c>
      <c r="G7" t="str">
        <f>Marzena!B6</f>
        <v>0:2</v>
      </c>
      <c r="H7" t="str">
        <f>Marzena!B7</f>
        <v>1:1</v>
      </c>
      <c r="I7" t="str">
        <f>Marzena!B8</f>
        <v>0:2</v>
      </c>
      <c r="J7" t="str">
        <f>Marzena!B9</f>
        <v>0:1</v>
      </c>
      <c r="K7" t="str">
        <f>Marzena!B10</f>
        <v>3:0</v>
      </c>
      <c r="L7" t="str">
        <f>Marzena!B11</f>
        <v>2:0</v>
      </c>
      <c r="M7" t="str">
        <f>Marzena!B12</f>
        <v>1:1</v>
      </c>
      <c r="N7" t="str">
        <f>Marzena!B13</f>
        <v>2:1</v>
      </c>
      <c r="O7" t="str">
        <f>Marzena!B14</f>
        <v>2:0</v>
      </c>
      <c r="P7" t="str">
        <f>Marzena!B15</f>
        <v>3:0</v>
      </c>
      <c r="Q7" t="str">
        <f>Marzena!B16</f>
        <v>1:2</v>
      </c>
      <c r="R7" t="str">
        <f>Marzena!B17</f>
        <v>2:1</v>
      </c>
      <c r="S7" t="str">
        <f>Marzena!B18</f>
        <v>2:1</v>
      </c>
      <c r="T7" t="str">
        <f>Marzena!B19</f>
        <v>0:2</v>
      </c>
      <c r="U7" t="str">
        <f>Marzena!B20</f>
        <v>1:0</v>
      </c>
      <c r="V7" t="str">
        <f>Marzena!B21</f>
        <v>3:1</v>
      </c>
      <c r="W7" t="str">
        <f>Marzena!B22</f>
        <v>3:0</v>
      </c>
      <c r="X7" t="str">
        <f>Marzena!B23</f>
        <v>1:1</v>
      </c>
      <c r="Y7" t="str">
        <f>Marzena!B24</f>
        <v>2:0</v>
      </c>
      <c r="Z7" t="str">
        <f>Marzena!B25</f>
        <v>1:2</v>
      </c>
      <c r="AA7" t="str">
        <f>Marzena!B26</f>
        <v>2:0</v>
      </c>
      <c r="AB7" t="str">
        <f>Marzena!B27</f>
        <v>3:1</v>
      </c>
      <c r="AC7" t="str">
        <f>Marzena!B28</f>
        <v>1:1</v>
      </c>
      <c r="AD7" t="str">
        <f>Marzena!B29</f>
        <v>2:1</v>
      </c>
      <c r="AE7" t="str">
        <f>Marzena!B30</f>
        <v>2:0</v>
      </c>
      <c r="AF7" t="str">
        <f>Marzena!B31</f>
        <v>1:2</v>
      </c>
      <c r="AG7" t="str">
        <f>Marzena!B32</f>
        <v>3:0</v>
      </c>
      <c r="AH7" t="str">
        <f>Marzena!B33</f>
        <v>2:1</v>
      </c>
      <c r="AI7" t="str">
        <f>Marzena!B34</f>
        <v>1:0</v>
      </c>
      <c r="AJ7" t="str">
        <f>Marzena!B35</f>
        <v>2:0</v>
      </c>
      <c r="AK7" t="str">
        <f>Marzena!B36</f>
        <v>1:0</v>
      </c>
      <c r="AL7" t="str">
        <f>Marzena!B37</f>
        <v>1:1</v>
      </c>
      <c r="AM7" t="str">
        <f>Marzena!B38</f>
        <v>3:1</v>
      </c>
      <c r="AN7" t="str">
        <f>Marzena!B39</f>
        <v>2:0</v>
      </c>
      <c r="AO7" t="str">
        <f>Marzena!B40</f>
        <v>2:0</v>
      </c>
      <c r="AP7" t="str">
        <f>Marzena!B41</f>
        <v>2:3</v>
      </c>
      <c r="AQ7" t="str">
        <f>Marzena!B42</f>
        <v>2:0</v>
      </c>
      <c r="AR7" t="str">
        <f>Marzena!B43</f>
        <v>2:0</v>
      </c>
      <c r="AS7" t="str">
        <f>Marzena!B44</f>
        <v>2:1</v>
      </c>
      <c r="AT7" t="str">
        <f>Marzena!B45</f>
        <v>1:2</v>
      </c>
      <c r="AU7" t="str">
        <f>Marzena!B46</f>
        <v>4:1</v>
      </c>
      <c r="AV7" t="str">
        <f>Marzena!B47</f>
        <v>2:1</v>
      </c>
      <c r="AW7" t="str">
        <f>Marzena!B48</f>
        <v>0:1</v>
      </c>
      <c r="AX7" t="str">
        <f>Marzena!B49</f>
        <v>1:1</v>
      </c>
      <c r="AY7" t="str">
        <f>Marzena!B50</f>
        <v>1:1</v>
      </c>
      <c r="AZ7" t="str">
        <f>Marzena!B51</f>
        <v>1:0</v>
      </c>
      <c r="BA7" t="str">
        <f>Marzena!B52</f>
        <v>0:2</v>
      </c>
      <c r="BB7" t="str">
        <f>Marzena!B53</f>
        <v>4:1</v>
      </c>
      <c r="BC7" t="str">
        <f>Marzena!B54</f>
        <v>1:1</v>
      </c>
      <c r="BD7" t="str">
        <f>Marzena!B55</f>
        <v>2:1</v>
      </c>
      <c r="BE7" t="str">
        <f>Marzena!B56</f>
        <v>1:3</v>
      </c>
      <c r="BF7" t="str">
        <f>Marzena!B57</f>
        <v>0:2</v>
      </c>
      <c r="BG7" t="str">
        <f>Marzena!B58</f>
        <v>0:1</v>
      </c>
      <c r="BH7" t="str">
        <f>Marzena!B59</f>
        <v>1:2</v>
      </c>
      <c r="BI7" t="str">
        <f>Marzena!B60</f>
        <v>1:1</v>
      </c>
      <c r="BJ7" t="str">
        <f>Marzena!B61</f>
        <v>2:2</v>
      </c>
      <c r="BK7" t="str">
        <f>Marzena!B62</f>
        <v>1:1</v>
      </c>
      <c r="BL7" t="str">
        <f>Marzena!B63</f>
        <v>2:0</v>
      </c>
      <c r="BM7" t="str">
        <f>Marzena!B64</f>
        <v>1:0</v>
      </c>
      <c r="BN7" t="str">
        <f>Marzena!B65</f>
        <v>1:1</v>
      </c>
      <c r="BO7" t="str">
        <f>Marzena!B66</f>
        <v>0:2</v>
      </c>
      <c r="BP7" t="str">
        <f>Marzena!B67</f>
        <v>1:2</v>
      </c>
      <c r="BQ7" t="str">
        <f>Marzena!B68</f>
        <v>0:2</v>
      </c>
      <c r="BR7" t="str">
        <f>Marzena!B69</f>
        <v>1:1</v>
      </c>
      <c r="BS7" t="str">
        <f>Marzena!B70</f>
        <v>2:2</v>
      </c>
      <c r="BT7" t="str">
        <f>Marzena!B71</f>
        <v>2:1</v>
      </c>
      <c r="BU7" t="str">
        <f>Marzena!B72</f>
        <v>1:1</v>
      </c>
      <c r="BV7" t="str">
        <f>Marzena!B73</f>
        <v>0:3</v>
      </c>
      <c r="BW7">
        <f>Marzena!D74</f>
        <v>3</v>
      </c>
    </row>
    <row r="8" spans="1:75">
      <c r="A8" s="29" t="s">
        <v>25</v>
      </c>
      <c r="B8" s="32">
        <f>BW8</f>
        <v>3</v>
      </c>
      <c r="C8" t="str">
        <f>'Paweł J'!B2</f>
        <v>2:0</v>
      </c>
      <c r="D8" t="str">
        <f>'Paweł J'!B3</f>
        <v>1:1</v>
      </c>
      <c r="E8" t="str">
        <f>'Paweł J'!B4</f>
        <v>2:1</v>
      </c>
      <c r="F8" t="str">
        <f>'Paweł J'!B5</f>
        <v>0:0</v>
      </c>
      <c r="G8" t="str">
        <f>'Paweł J'!B6</f>
        <v>0:2</v>
      </c>
      <c r="H8" t="str">
        <f>'Paweł J'!B7</f>
        <v>3:1</v>
      </c>
      <c r="I8" t="str">
        <f>'Paweł J'!B8</f>
        <v>1:1</v>
      </c>
      <c r="J8" t="str">
        <f>'Paweł J'!B9</f>
        <v>0:1</v>
      </c>
      <c r="K8" t="str">
        <f>'Paweł J'!B10</f>
        <v>4:0</v>
      </c>
      <c r="L8" t="str">
        <f>'Paweł J'!B11</f>
        <v>3:0</v>
      </c>
      <c r="M8" t="str">
        <f>'Paweł J'!B12</f>
        <v>1:1</v>
      </c>
      <c r="N8" t="str">
        <f>'Paweł J'!B13</f>
        <v>1:0</v>
      </c>
      <c r="O8" t="str">
        <f>'Paweł J'!B14</f>
        <v>5:0</v>
      </c>
      <c r="P8" t="str">
        <f>'Paweł J'!B15</f>
        <v>1:1</v>
      </c>
      <c r="Q8" t="str">
        <f>'Paweł J'!B16</f>
        <v>0:2</v>
      </c>
      <c r="R8" t="str">
        <f>'Paweł J'!B17</f>
        <v>3:1</v>
      </c>
      <c r="S8" t="str">
        <f>'Paweł J'!B18</f>
        <v>3:1</v>
      </c>
      <c r="T8" t="str">
        <f>'Paweł J'!B19</f>
        <v>0:2</v>
      </c>
      <c r="U8" t="str">
        <f>'Paweł J'!B20</f>
        <v>2:0</v>
      </c>
      <c r="V8" t="str">
        <f>'Paweł J'!B21</f>
        <v>2:0</v>
      </c>
      <c r="W8" t="str">
        <f>'Paweł J'!B22</f>
        <v>3:0</v>
      </c>
      <c r="X8" t="str">
        <f>'Paweł J'!B23</f>
        <v>0:0</v>
      </c>
      <c r="Y8" t="str">
        <f>'Paweł J'!B24</f>
        <v>1:1</v>
      </c>
      <c r="Z8" t="str">
        <f>'Paweł J'!B25</f>
        <v>0:1</v>
      </c>
      <c r="AA8" t="str">
        <f>'Paweł J'!B26</f>
        <v>0:0</v>
      </c>
      <c r="AB8" t="str">
        <f>'Paweł J'!B27</f>
        <v>1:0</v>
      </c>
      <c r="AC8" t="str">
        <f>'Paweł J'!B28</f>
        <v>2:0</v>
      </c>
      <c r="AD8" t="str">
        <f>'Paweł J'!B29</f>
        <v>1:0</v>
      </c>
      <c r="AE8" t="str">
        <f>'Paweł J'!B30</f>
        <v>1:1</v>
      </c>
      <c r="AF8" t="str">
        <f>'Paweł J'!B31</f>
        <v>0:2</v>
      </c>
      <c r="AG8" t="str">
        <f>'Paweł J'!B32</f>
        <v>7:0</v>
      </c>
      <c r="AH8" t="str">
        <f>'Paweł J'!B33</f>
        <v>0:0</v>
      </c>
      <c r="AI8" t="str">
        <f>'Paweł J'!B34</f>
        <v>0:0</v>
      </c>
      <c r="AJ8" t="str">
        <f>'Paweł J'!B35</f>
        <v>2:0</v>
      </c>
      <c r="AK8" t="str">
        <f>'Paweł J'!B36</f>
        <v>4:0</v>
      </c>
      <c r="AL8" t="str">
        <f>'Paweł J'!B37</f>
        <v>1:2</v>
      </c>
      <c r="AM8" t="str">
        <f>'Paweł J'!B38</f>
        <v>3:0</v>
      </c>
      <c r="AN8" t="str">
        <f>'Paweł J'!B39</f>
        <v>2:0</v>
      </c>
      <c r="AO8" t="str">
        <f>'Paweł J'!B40</f>
        <v>3:0</v>
      </c>
      <c r="AP8" t="str">
        <f>'Paweł J'!B41</f>
        <v>0:2</v>
      </c>
      <c r="AQ8" t="str">
        <f>'Paweł J'!B42</f>
        <v>2:0</v>
      </c>
      <c r="AR8" t="str">
        <f>'Paweł J'!B43</f>
        <v>3:0</v>
      </c>
      <c r="AS8" t="str">
        <f>'Paweł J'!B44</f>
        <v>1:0</v>
      </c>
      <c r="AT8" t="str">
        <f>'Paweł J'!B45</f>
        <v>0:1</v>
      </c>
      <c r="AU8" t="str">
        <f>'Paweł J'!B46</f>
        <v>1:0</v>
      </c>
      <c r="AV8" t="str">
        <f>'Paweł J'!B47</f>
        <v>0:1</v>
      </c>
      <c r="AW8" t="str">
        <f>'Paweł J'!B48</f>
        <v>0:2</v>
      </c>
      <c r="AX8" t="str">
        <f>'Paweł J'!B49</f>
        <v>1:0</v>
      </c>
      <c r="AY8" t="str">
        <f>'Paweł J'!B50</f>
        <v>0:0</v>
      </c>
      <c r="AZ8" t="str">
        <f>'Paweł J'!B51</f>
        <v>0:0</v>
      </c>
      <c r="BA8" t="str">
        <f>'Paweł J'!B52</f>
        <v>0:3</v>
      </c>
      <c r="BB8" t="str">
        <f>'Paweł J'!B53</f>
        <v>3:0</v>
      </c>
      <c r="BC8" t="str">
        <f>'Paweł J'!B54</f>
        <v>0:1</v>
      </c>
      <c r="BD8" t="str">
        <f>'Paweł J'!B55</f>
        <v>2:1</v>
      </c>
      <c r="BE8" t="str">
        <f>'Paweł J'!B56</f>
        <v>1:3</v>
      </c>
      <c r="BF8" t="str">
        <f>'Paweł J'!B57</f>
        <v>0:2</v>
      </c>
      <c r="BG8" t="str">
        <f>'Paweł J'!B58</f>
        <v>0:1</v>
      </c>
      <c r="BH8" t="str">
        <f>'Paweł J'!B59</f>
        <v>1:1</v>
      </c>
      <c r="BI8" t="str">
        <f>'Paweł J'!B60</f>
        <v>2:0</v>
      </c>
      <c r="BJ8" t="str">
        <f>'Paweł J'!B61</f>
        <v>1:0</v>
      </c>
      <c r="BK8" t="str">
        <f>'Paweł J'!B62</f>
        <v>1:1</v>
      </c>
      <c r="BL8" t="str">
        <f>'Paweł J'!B63</f>
        <v>2:0</v>
      </c>
      <c r="BM8" t="str">
        <f>'Paweł J'!B64</f>
        <v>2:2</v>
      </c>
      <c r="BN8" t="str">
        <f>'Paweł J'!B65</f>
        <v>1:1</v>
      </c>
      <c r="BO8" t="str">
        <f>'Paweł J'!B66</f>
        <v>1:0</v>
      </c>
      <c r="BP8" t="str">
        <f>'Paweł J'!B67</f>
        <v>0:4</v>
      </c>
      <c r="BQ8" t="str">
        <f>'Paweł J'!B68</f>
        <v>0:3</v>
      </c>
      <c r="BR8" t="str">
        <f>'Paweł J'!B69</f>
        <v>2:0</v>
      </c>
      <c r="BS8" t="str">
        <f>'Paweł J'!B70</f>
        <v>1:1</v>
      </c>
      <c r="BT8" t="str">
        <f>'Paweł J'!B71</f>
        <v>0:1</v>
      </c>
      <c r="BU8" t="str">
        <f>'Paweł J'!B72</f>
        <v>0:0</v>
      </c>
      <c r="BV8" t="str">
        <f>'Paweł J'!B73</f>
        <v>0:3</v>
      </c>
      <c r="BW8">
        <f>'Paweł J'!D74</f>
        <v>3</v>
      </c>
    </row>
    <row r="9" spans="1:75">
      <c r="A9" s="29" t="s">
        <v>27</v>
      </c>
      <c r="B9" s="32">
        <f>BW9</f>
        <v>3</v>
      </c>
      <c r="C9" t="str">
        <f>'Paweł P'!B2</f>
        <v>2:0</v>
      </c>
      <c r="D9" t="str">
        <f>'Paweł P'!B3</f>
        <v>1:1</v>
      </c>
      <c r="E9" t="str">
        <f>'Paweł P'!B4</f>
        <v>2:2</v>
      </c>
      <c r="F9" t="str">
        <f>'Paweł P'!B5</f>
        <v>3:1</v>
      </c>
      <c r="G9" t="str">
        <f>'Paweł P'!B6</f>
        <v>0:3</v>
      </c>
      <c r="H9" t="str">
        <f>'Paweł P'!B7</f>
        <v>2:1</v>
      </c>
      <c r="I9" t="str">
        <f>'Paweł P'!B8</f>
        <v>0:0</v>
      </c>
      <c r="J9" t="str">
        <f>'Paweł P'!B9</f>
        <v>1:3</v>
      </c>
      <c r="K9" t="str">
        <f>'Paweł P'!B10</f>
        <v>2:0</v>
      </c>
      <c r="L9" t="str">
        <f>'Paweł P'!B11</f>
        <v>1:0</v>
      </c>
      <c r="M9" t="str">
        <f>'Paweł P'!B12</f>
        <v>0:0</v>
      </c>
      <c r="N9" t="str">
        <f>'Paweł P'!B13</f>
        <v>0:1</v>
      </c>
      <c r="O9" t="str">
        <f>'Paweł P'!B14</f>
        <v>4:0</v>
      </c>
      <c r="P9" t="str">
        <f>'Paweł P'!B15</f>
        <v>3:1</v>
      </c>
      <c r="Q9" t="str">
        <f>'Paweł P'!B16</f>
        <v>0:2</v>
      </c>
      <c r="R9" t="str">
        <f>'Paweł P'!B17</f>
        <v>2:0</v>
      </c>
      <c r="S9" t="str">
        <f>'Paweł P'!B18</f>
        <v>0:1</v>
      </c>
      <c r="T9" t="str">
        <f>'Paweł P'!B19</f>
        <v>0:3</v>
      </c>
      <c r="U9" t="str">
        <f>'Paweł P'!B20</f>
        <v>3:2</v>
      </c>
      <c r="V9" t="str">
        <f>'Paweł P'!B21</f>
        <v>2:1</v>
      </c>
      <c r="W9" t="str">
        <f>'Paweł P'!B22</f>
        <v>3:0</v>
      </c>
      <c r="X9" t="str">
        <f>'Paweł P'!B23</f>
        <v>0:0</v>
      </c>
      <c r="Y9" t="str">
        <f>'Paweł P'!B24</f>
        <v>2:1</v>
      </c>
      <c r="Z9" t="str">
        <f>'Paweł P'!B25</f>
        <v>1:3</v>
      </c>
      <c r="AA9" t="str">
        <f>'Paweł P'!B26</f>
        <v>1:0</v>
      </c>
      <c r="AB9" t="str">
        <f>'Paweł P'!B27</f>
        <v>1:0</v>
      </c>
      <c r="AC9" t="str">
        <f>'Paweł P'!B28</f>
        <v>2:0</v>
      </c>
      <c r="AD9" t="str">
        <f>'Paweł P'!B29</f>
        <v>1:0</v>
      </c>
      <c r="AE9" t="str">
        <f>'Paweł P'!B30</f>
        <v>2:0</v>
      </c>
      <c r="AF9" t="str">
        <f>'Paweł P'!B31</f>
        <v>0:2</v>
      </c>
      <c r="AG9" t="str">
        <f>'Paweł P'!B32</f>
        <v>5:0</v>
      </c>
      <c r="AH9" t="str">
        <f>'Paweł P'!B33</f>
        <v>2:2</v>
      </c>
      <c r="AI9" t="str">
        <f>'Paweł P'!B34</f>
        <v>3:0</v>
      </c>
      <c r="AJ9" t="str">
        <f>'Paweł P'!B35</f>
        <v>3:2</v>
      </c>
      <c r="AK9" t="str">
        <f>'Paweł P'!B36</f>
        <v>0:1</v>
      </c>
      <c r="AL9" t="str">
        <f>'Paweł P'!B37</f>
        <v>0:2</v>
      </c>
      <c r="AM9" t="str">
        <f>'Paweł P'!B38</f>
        <v>2:0</v>
      </c>
      <c r="AN9" t="str">
        <f>'Paweł P'!B39</f>
        <v>0:0</v>
      </c>
      <c r="AO9" t="str">
        <f>'Paweł P'!B40</f>
        <v>3:0</v>
      </c>
      <c r="AP9" t="str">
        <f>'Paweł P'!B41</f>
        <v>0:0</v>
      </c>
      <c r="AQ9" t="str">
        <f>'Paweł P'!B42</f>
        <v>1:0</v>
      </c>
      <c r="AR9" t="str">
        <f>'Paweł P'!B43</f>
        <v>4:1</v>
      </c>
      <c r="AS9" t="str">
        <f>'Paweł P'!B44</f>
        <v>3:0</v>
      </c>
      <c r="AT9" t="str">
        <f>'Paweł P'!B45</f>
        <v>3:3</v>
      </c>
      <c r="AU9" t="str">
        <f>'Paweł P'!B46</f>
        <v>2:1</v>
      </c>
      <c r="AV9" t="str">
        <f>'Paweł P'!B47</f>
        <v>2:2</v>
      </c>
      <c r="AW9" t="str">
        <f>'Paweł P'!B48</f>
        <v>0:1</v>
      </c>
      <c r="AX9" t="str">
        <f>'Paweł P'!B49</f>
        <v>1:1</v>
      </c>
      <c r="AY9" t="str">
        <f>'Paweł P'!B50</f>
        <v>1:1</v>
      </c>
      <c r="AZ9" t="str">
        <f>'Paweł P'!B51</f>
        <v>0:0</v>
      </c>
      <c r="BA9" t="str">
        <f>'Paweł P'!B52</f>
        <v>1:3</v>
      </c>
      <c r="BB9" t="str">
        <f>'Paweł P'!B53</f>
        <v>2:0</v>
      </c>
      <c r="BC9" t="str">
        <f>'Paweł P'!B54</f>
        <v>0:2</v>
      </c>
      <c r="BD9" t="str">
        <f>'Paweł P'!B55</f>
        <v>1:1</v>
      </c>
      <c r="BE9" t="str">
        <f>'Paweł P'!B56</f>
        <v>0:0</v>
      </c>
      <c r="BF9" t="str">
        <f>'Paweł P'!B57</f>
        <v>1:4</v>
      </c>
      <c r="BG9" t="str">
        <f>'Paweł P'!B58</f>
        <v>0:0</v>
      </c>
      <c r="BH9" t="str">
        <f>'Paweł P'!B59</f>
        <v>0:2</v>
      </c>
      <c r="BI9" t="str">
        <f>'Paweł P'!B60</f>
        <v>2:2</v>
      </c>
      <c r="BJ9" t="str">
        <f>'Paweł P'!B61</f>
        <v>2:1</v>
      </c>
      <c r="BK9" t="str">
        <f>'Paweł P'!B62</f>
        <v>2:2</v>
      </c>
      <c r="BL9" t="str">
        <f>'Paweł P'!B63</f>
        <v>3:0</v>
      </c>
      <c r="BM9" t="str">
        <f>'Paweł P'!B64</f>
        <v>0:2</v>
      </c>
      <c r="BN9" t="str">
        <f>'Paweł P'!B65</f>
        <v>0:2</v>
      </c>
      <c r="BO9" t="str">
        <f>'Paweł P'!B66</f>
        <v>0:0</v>
      </c>
      <c r="BP9" t="str">
        <f>'Paweł P'!B67</f>
        <v>1:3</v>
      </c>
      <c r="BQ9" t="str">
        <f>'Paweł P'!B68</f>
        <v>1:3</v>
      </c>
      <c r="BR9" t="str">
        <f>'Paweł P'!B69</f>
        <v>1:0</v>
      </c>
      <c r="BS9" t="str">
        <f>'Paweł P'!B70</f>
        <v>0:2</v>
      </c>
      <c r="BT9" t="str">
        <f>'Paweł P'!B71</f>
        <v>0:0</v>
      </c>
      <c r="BU9" t="str">
        <f>'Paweł P'!B72</f>
        <v>0:3</v>
      </c>
      <c r="BV9" t="str">
        <f>'Paweł P'!B73</f>
        <v>0:3</v>
      </c>
      <c r="BW9">
        <f>'Paweł P'!D74</f>
        <v>3</v>
      </c>
    </row>
    <row r="10" spans="1:75">
      <c r="A10" s="29" t="s">
        <v>28</v>
      </c>
      <c r="B10" s="32">
        <f>BW10</f>
        <v>3</v>
      </c>
      <c r="C10" t="str">
        <f>Paulina!B2</f>
        <v>2:0</v>
      </c>
      <c r="D10" t="str">
        <f>Paulina!B3</f>
        <v>1:1</v>
      </c>
      <c r="E10" t="str">
        <f>Paulina!B4</f>
        <v>2:1</v>
      </c>
      <c r="F10" t="str">
        <f>Paulina!B5</f>
        <v>0:2</v>
      </c>
      <c r="G10" t="str">
        <f>Paulina!B6</f>
        <v>0:2</v>
      </c>
      <c r="H10" t="str">
        <f>Paulina!B7</f>
        <v>2:1</v>
      </c>
      <c r="I10" t="str">
        <f>Paulina!B8</f>
        <v>0:2</v>
      </c>
      <c r="J10" t="str">
        <f>Paulina!B9</f>
        <v>1:2</v>
      </c>
      <c r="K10" t="str">
        <f>Paulina!B10</f>
        <v>3:0</v>
      </c>
      <c r="L10" t="str">
        <f>Paulina!B11</f>
        <v>2:1</v>
      </c>
      <c r="M10" t="str">
        <f>Paulina!B12</f>
        <v>1:1</v>
      </c>
      <c r="N10" t="str">
        <f>Paulina!B13</f>
        <v>1:0</v>
      </c>
      <c r="O10" t="str">
        <f>Paulina!B14</f>
        <v>3:0</v>
      </c>
      <c r="P10" t="str">
        <f>Paulina!B15</f>
        <v>2:0</v>
      </c>
      <c r="Q10" t="str">
        <f>Paulina!B16</f>
        <v>0:2</v>
      </c>
      <c r="R10" t="str">
        <f>Paulina!B17</f>
        <v>2:1</v>
      </c>
      <c r="S10" t="str">
        <f>Paulina!B18</f>
        <v>2:0</v>
      </c>
      <c r="T10" t="str">
        <f>Paulina!B19</f>
        <v>0:2</v>
      </c>
      <c r="U10" t="str">
        <f>Paulina!B20</f>
        <v>3:0</v>
      </c>
      <c r="V10" t="str">
        <f>Paulina!B21</f>
        <v>2:0</v>
      </c>
      <c r="W10" t="str">
        <f>Paulina!B22</f>
        <v>3:0</v>
      </c>
      <c r="X10" t="str">
        <f>Paulina!B23</f>
        <v>2:1</v>
      </c>
      <c r="Y10" t="str">
        <f>Paulina!B24</f>
        <v>1:1</v>
      </c>
      <c r="Z10" t="str">
        <f>Paulina!B25</f>
        <v>1:0</v>
      </c>
      <c r="AA10" t="str">
        <f>Paulina!B26</f>
        <v>1:0</v>
      </c>
      <c r="AB10" t="str">
        <f>Paulina!B27</f>
        <v>2:0</v>
      </c>
      <c r="AC10" t="str">
        <f>Paulina!B28</f>
        <v>2:1</v>
      </c>
      <c r="AD10" t="str">
        <f>Paulina!B29</f>
        <v>1:1</v>
      </c>
      <c r="AE10" t="str">
        <f>Paulina!B30</f>
        <v>1:0</v>
      </c>
      <c r="AF10" t="str">
        <f>Paulina!B31</f>
        <v>1:2</v>
      </c>
      <c r="AG10" t="str">
        <f>Paulina!B32</f>
        <v>3:0</v>
      </c>
      <c r="AH10" t="str">
        <f>Paulina!B33</f>
        <v>1:1</v>
      </c>
      <c r="AI10" t="str">
        <f>Paulina!B34</f>
        <v>2:1</v>
      </c>
      <c r="AJ10" t="str">
        <f>Paulina!B35</f>
        <v>2:0</v>
      </c>
      <c r="AK10" t="str">
        <f>Paulina!B36</f>
        <v>2:0</v>
      </c>
      <c r="AL10" t="str">
        <f>Paulina!B37</f>
        <v>0:1</v>
      </c>
      <c r="AM10" t="str">
        <f>Paulina!B38</f>
        <v>3:0</v>
      </c>
      <c r="AN10" t="str">
        <f>Paulina!B39</f>
        <v>2:0</v>
      </c>
      <c r="AO10" t="str">
        <f>Paulina!B40</f>
        <v>2:0</v>
      </c>
      <c r="AP10" t="str">
        <f>Paulina!B41</f>
        <v>0:1</v>
      </c>
      <c r="AQ10" t="str">
        <f>Paulina!B42</f>
        <v>2:0</v>
      </c>
      <c r="AR10" t="str">
        <f>Paulina!B43</f>
        <v>3:0</v>
      </c>
      <c r="AS10" t="str">
        <f>Paulina!B44</f>
        <v>2:1</v>
      </c>
      <c r="AT10" t="str">
        <f>Paulina!B45</f>
        <v>0:2</v>
      </c>
      <c r="AU10" t="str">
        <f>Paulina!B46</f>
        <v>3:0</v>
      </c>
      <c r="AV10" t="str">
        <f>Paulina!B47</f>
        <v>3:0</v>
      </c>
      <c r="AW10" t="str">
        <f>Paulina!B48</f>
        <v>0:3</v>
      </c>
      <c r="AX10" t="str">
        <f>Paulina!B49</f>
        <v>2:0</v>
      </c>
      <c r="AY10" t="str">
        <f>Paulina!B50</f>
        <v>1:1</v>
      </c>
      <c r="AZ10" t="str">
        <f>Paulina!B51</f>
        <v>0:1</v>
      </c>
      <c r="BA10" t="str">
        <f>Paulina!B52</f>
        <v>0:3</v>
      </c>
      <c r="BB10" t="str">
        <f>Paulina!B53</f>
        <v>2:0</v>
      </c>
      <c r="BC10" t="str">
        <f>Paulina!B54</f>
        <v>1:1</v>
      </c>
      <c r="BD10" t="str">
        <f>Paulina!B55</f>
        <v>0:1</v>
      </c>
      <c r="BE10" t="str">
        <f>Paulina!B56</f>
        <v>0:2</v>
      </c>
      <c r="BF10" t="str">
        <f>Paulina!B57</f>
        <v>0:3</v>
      </c>
      <c r="BG10" t="str">
        <f>Paulina!B58</f>
        <v>1:1</v>
      </c>
      <c r="BH10" t="str">
        <f>Paulina!B59</f>
        <v>0:2</v>
      </c>
      <c r="BI10" t="str">
        <f>Paulina!B60</f>
        <v>1:1</v>
      </c>
      <c r="BJ10" t="str">
        <f>Paulina!B61</f>
        <v>1:2</v>
      </c>
      <c r="BK10" t="str">
        <f>Paulina!B62</f>
        <v>3:2</v>
      </c>
      <c r="BL10" t="str">
        <f>Paulina!B63</f>
        <v>2:0</v>
      </c>
      <c r="BM10" t="str">
        <f>Paulina!B64</f>
        <v>1:1</v>
      </c>
      <c r="BN10" t="str">
        <f>Paulina!B65</f>
        <v>0:2</v>
      </c>
      <c r="BO10" t="str">
        <f>Paulina!B66</f>
        <v>1:1</v>
      </c>
      <c r="BP10" t="str">
        <f>Paulina!B67</f>
        <v>0:2</v>
      </c>
      <c r="BQ10" t="str">
        <f>Paulina!B68</f>
        <v>0:3</v>
      </c>
      <c r="BR10" t="str">
        <f>Paulina!B69</f>
        <v>2:0</v>
      </c>
      <c r="BS10" t="str">
        <f>Paulina!B70</f>
        <v>1:2</v>
      </c>
      <c r="BT10" t="str">
        <f>Paulina!B71</f>
        <v>1:1</v>
      </c>
      <c r="BU10" t="str">
        <f>Paulina!B72</f>
        <v>1:2</v>
      </c>
      <c r="BV10" t="str">
        <f>Paulina!B73</f>
        <v>0:3</v>
      </c>
      <c r="BW10">
        <f>Paulina!D74</f>
        <v>3</v>
      </c>
    </row>
    <row r="11" spans="1:75">
      <c r="A11" s="29" t="s">
        <v>24</v>
      </c>
      <c r="B11" s="32">
        <f>BW11</f>
        <v>2</v>
      </c>
      <c r="C11" t="str">
        <f>Maja!B2</f>
        <v>3:0</v>
      </c>
      <c r="D11" t="str">
        <f>Maja!B3</f>
        <v>3:2</v>
      </c>
      <c r="E11" t="str">
        <f>Maja!B4</f>
        <v>1:0</v>
      </c>
      <c r="F11" t="str">
        <f>Maja!B5</f>
        <v>3:3</v>
      </c>
      <c r="G11" t="str">
        <f>Maja!B6</f>
        <v>5:2</v>
      </c>
      <c r="H11" t="str">
        <f>Maja!B7</f>
        <v>4:1</v>
      </c>
      <c r="I11" t="str">
        <f>Maja!B8</f>
        <v>5:4</v>
      </c>
      <c r="J11" t="str">
        <f>Maja!B9</f>
        <v>1:5</v>
      </c>
      <c r="K11" t="str">
        <f>Maja!B10</f>
        <v>6:2</v>
      </c>
      <c r="L11" t="str">
        <f>Maja!B11</f>
        <v>3:2</v>
      </c>
      <c r="M11" t="str">
        <f>Maja!B12</f>
        <v>5:6</v>
      </c>
      <c r="N11" t="str">
        <f>Maja!B13</f>
        <v>1:4</v>
      </c>
      <c r="O11" t="str">
        <f>Maja!B14</f>
        <v>4:5</v>
      </c>
      <c r="P11" t="str">
        <f>Maja!B15</f>
        <v>3:2</v>
      </c>
      <c r="Q11" t="str">
        <f>Maja!B16</f>
        <v>2:4</v>
      </c>
      <c r="R11" t="str">
        <f>Maja!B17</f>
        <v>2:5</v>
      </c>
      <c r="S11" t="str">
        <f>Maja!B18</f>
        <v>3:3</v>
      </c>
      <c r="T11" t="str">
        <f>Maja!B19</f>
        <v>3:1</v>
      </c>
      <c r="U11" t="str">
        <f>Maja!B20</f>
        <v>3:0</v>
      </c>
      <c r="V11" t="str">
        <f>Maja!B21</f>
        <v>3:4</v>
      </c>
      <c r="W11" t="str">
        <f>Maja!B22</f>
        <v>3:2</v>
      </c>
      <c r="X11" t="str">
        <f>Maja!B23</f>
        <v>2:4</v>
      </c>
      <c r="Y11" t="str">
        <f>Maja!B24</f>
        <v>3:2</v>
      </c>
      <c r="Z11" t="str">
        <f>Maja!B25</f>
        <v>1:5</v>
      </c>
      <c r="AA11" t="str">
        <f>Maja!B26</f>
        <v>3:2</v>
      </c>
      <c r="AB11" t="str">
        <f>Maja!B27</f>
        <v>3:5</v>
      </c>
      <c r="AC11" t="str">
        <f>Maja!B28</f>
        <v>4:2</v>
      </c>
      <c r="AD11" t="str">
        <f>Maja!B29</f>
        <v>3:4</v>
      </c>
      <c r="AE11" t="str">
        <f>Maja!B30</f>
        <v>1:4</v>
      </c>
      <c r="AF11" t="str">
        <f>Maja!B31</f>
        <v>4:3</v>
      </c>
      <c r="AG11" t="str">
        <f>Maja!B32</f>
        <v>2:0</v>
      </c>
      <c r="AH11" t="str">
        <f>Maja!B33</f>
        <v>3:3</v>
      </c>
      <c r="AI11" t="str">
        <f>Maja!B34</f>
        <v>3:2</v>
      </c>
      <c r="AJ11" t="str">
        <f>Maja!B35</f>
        <v>4:1</v>
      </c>
      <c r="AK11" t="str">
        <f>Maja!B36</f>
        <v>1:2</v>
      </c>
      <c r="AL11" t="str">
        <f>Maja!B37</f>
        <v>2:3</v>
      </c>
      <c r="AM11" t="str">
        <f>Maja!B38</f>
        <v>3:2</v>
      </c>
      <c r="AN11" t="str">
        <f>Maja!B39</f>
        <v>2:0</v>
      </c>
      <c r="AO11" t="str">
        <f>Maja!B40</f>
        <v>3:1</v>
      </c>
      <c r="AP11" t="str">
        <f>Maja!B41</f>
        <v>3:1</v>
      </c>
      <c r="AQ11" t="str">
        <f>Maja!B42</f>
        <v>3:2</v>
      </c>
      <c r="AR11" t="str">
        <f>Maja!B43</f>
        <v>3:2</v>
      </c>
      <c r="AS11" t="str">
        <f>Maja!B44</f>
        <v>3:3</v>
      </c>
      <c r="AT11" t="str">
        <f>Maja!B45</f>
        <v>4:2</v>
      </c>
      <c r="AU11" t="str">
        <f>Maja!B46</f>
        <v>4:1</v>
      </c>
      <c r="AV11" t="str">
        <f>Maja!B47</f>
        <v>3:0</v>
      </c>
      <c r="AW11" t="str">
        <f>Maja!B48</f>
        <v>1:5</v>
      </c>
      <c r="AX11" t="str">
        <f>Maja!B49</f>
        <v>3:0</v>
      </c>
      <c r="AY11" t="str">
        <f>Maja!B50</f>
        <v>0:3</v>
      </c>
      <c r="AZ11" t="str">
        <f>Maja!B51</f>
        <v>3:3</v>
      </c>
      <c r="BA11" t="str">
        <f>Maja!B52</f>
        <v>1:3</v>
      </c>
      <c r="BB11" t="str">
        <f>Maja!B53</f>
        <v>3:0</v>
      </c>
      <c r="BC11" t="str">
        <f>Maja!B54</f>
        <v>3:2</v>
      </c>
      <c r="BD11" t="str">
        <f>Maja!B55</f>
        <v>3:2</v>
      </c>
      <c r="BE11" t="str">
        <f>Maja!B56</f>
        <v>3:0</v>
      </c>
      <c r="BF11" t="str">
        <f>Maja!B57</f>
        <v>2:2</v>
      </c>
      <c r="BG11" t="str">
        <f>Maja!B58</f>
        <v>3:4</v>
      </c>
      <c r="BH11" t="str">
        <f>Maja!B59</f>
        <v>3:4</v>
      </c>
      <c r="BI11" t="str">
        <f>Maja!B60</f>
        <v>1:1</v>
      </c>
      <c r="BJ11" t="str">
        <f>Maja!B61</f>
        <v>0:2</v>
      </c>
      <c r="BK11" t="str">
        <f>Maja!B62</f>
        <v>1:3</v>
      </c>
      <c r="BL11" t="str">
        <f>Maja!B63</f>
        <v>3:1</v>
      </c>
      <c r="BM11" t="str">
        <f>Maja!B64</f>
        <v>3:0</v>
      </c>
      <c r="BN11" t="str">
        <f>Maja!B65</f>
        <v>1:3</v>
      </c>
      <c r="BO11" t="str">
        <f>Maja!B66</f>
        <v>2:2</v>
      </c>
      <c r="BP11" t="str">
        <f>Maja!B67</f>
        <v>3:1</v>
      </c>
      <c r="BQ11" t="str">
        <f>Maja!B68</f>
        <v>3:2</v>
      </c>
      <c r="BR11" t="str">
        <f>Maja!B69</f>
        <v>3:1</v>
      </c>
      <c r="BS11" t="str">
        <f>Maja!B70</f>
        <v>3:2</v>
      </c>
      <c r="BT11" t="str">
        <f>Maja!B71</f>
        <v>0:1</v>
      </c>
      <c r="BU11" t="str">
        <f>Maja!B72</f>
        <v>3:0</v>
      </c>
      <c r="BV11" t="str">
        <f>Maja!B73</f>
        <v>0:3</v>
      </c>
      <c r="BW11">
        <f>Maja!D74</f>
        <v>2</v>
      </c>
    </row>
    <row r="12" spans="1:75">
      <c r="A12" s="29" t="s">
        <v>2</v>
      </c>
      <c r="B12" s="32">
        <f>BW12</f>
        <v>1</v>
      </c>
      <c r="C12" t="str">
        <f>'Karolek Asi'!B2</f>
        <v>2:1</v>
      </c>
      <c r="D12" t="str">
        <f>'Karolek Asi'!B3</f>
        <v>1:1</v>
      </c>
      <c r="E12" t="str">
        <f>'Karolek Asi'!B4</f>
        <v>0:2</v>
      </c>
      <c r="F12" t="str">
        <f>'Karolek Asi'!B5</f>
        <v>1:1</v>
      </c>
      <c r="G12" t="str">
        <f>'Karolek Asi'!B6</f>
        <v>0:2</v>
      </c>
      <c r="H12" t="str">
        <f>'Karolek Asi'!B7</f>
        <v>2:0</v>
      </c>
      <c r="I12" t="str">
        <f>'Karolek Asi'!B8</f>
        <v>0:2</v>
      </c>
      <c r="J12" t="str">
        <f>'Karolek Asi'!B9</f>
        <v>0:2</v>
      </c>
      <c r="K12" t="str">
        <f>'Karolek Asi'!B10</f>
        <v>4:0</v>
      </c>
      <c r="L12" t="str">
        <f>'Karolek Asi'!B11</f>
        <v>1:1</v>
      </c>
      <c r="M12" t="str">
        <f>'Karolek Asi'!B12</f>
        <v>2:2</v>
      </c>
      <c r="N12" t="str">
        <f>'Karolek Asi'!B13</f>
        <v>1:0</v>
      </c>
      <c r="O12" t="str">
        <f>'Karolek Asi'!B14</f>
        <v>3:0</v>
      </c>
      <c r="P12" t="str">
        <f>'Karolek Asi'!B15</f>
        <v>2:1</v>
      </c>
      <c r="Q12" t="str">
        <f>'Karolek Asi'!B16</f>
        <v>0:2</v>
      </c>
      <c r="R12" t="str">
        <f>'Karolek Asi'!B17</f>
        <v>2:0</v>
      </c>
      <c r="S12" t="str">
        <f>'Karolek Asi'!B18</f>
        <v>2:0</v>
      </c>
      <c r="T12" t="str">
        <f>'Karolek Asi'!B19</f>
        <v>0:2</v>
      </c>
      <c r="U12" t="str">
        <f>'Karolek Asi'!B20</f>
        <v>2:0</v>
      </c>
      <c r="V12" t="str">
        <f>'Karolek Asi'!B21</f>
        <v>2:1</v>
      </c>
      <c r="W12" t="str">
        <f>'Karolek Asi'!B22</f>
        <v>4:0</v>
      </c>
      <c r="X12" t="str">
        <f>'Karolek Asi'!B23</f>
        <v>1:1</v>
      </c>
      <c r="Y12" t="str">
        <f>'Karolek Asi'!B24</f>
        <v>1:0</v>
      </c>
      <c r="Z12" t="str">
        <f>'Karolek Asi'!B25</f>
        <v>1:1</v>
      </c>
      <c r="AA12" t="str">
        <f>'Karolek Asi'!B26</f>
        <v>1:0</v>
      </c>
      <c r="AB12" t="str">
        <f>'Karolek Asi'!B27</f>
        <v>0:1</v>
      </c>
      <c r="AC12" t="str">
        <f>'Karolek Asi'!B28</f>
        <v>2:0</v>
      </c>
      <c r="AD12" t="str">
        <f>'Karolek Asi'!B29</f>
        <v>2:1</v>
      </c>
      <c r="AE12" t="str">
        <f>'Karolek Asi'!B30</f>
        <v>2:1</v>
      </c>
      <c r="AF12" t="str">
        <f>'Karolek Asi'!B31</f>
        <v>0:1</v>
      </c>
      <c r="AG12" t="str">
        <f>'Karolek Asi'!B32</f>
        <v>3:0</v>
      </c>
      <c r="AH12" t="str">
        <f>'Karolek Asi'!B33</f>
        <v>2:2</v>
      </c>
      <c r="AI12" t="str">
        <f>'Karolek Asi'!B34</f>
        <v>3:1</v>
      </c>
      <c r="AJ12" t="str">
        <f>'Karolek Asi'!B35</f>
        <v>2:1</v>
      </c>
      <c r="AK12" t="str">
        <f>'Karolek Asi'!B36</f>
        <v>2:0</v>
      </c>
      <c r="AL12" t="str">
        <f>'Karolek Asi'!B37</f>
        <v>0:2</v>
      </c>
      <c r="AM12" t="str">
        <f>'Karolek Asi'!B38</f>
        <v>2:0</v>
      </c>
      <c r="AN12" t="str">
        <f>'Karolek Asi'!B39</f>
        <v>1:0</v>
      </c>
      <c r="AO12" t="str">
        <f>'Karolek Asi'!B40</f>
        <v>2:0</v>
      </c>
      <c r="AP12" t="str">
        <f>'Karolek Asi'!B41</f>
        <v>0:1</v>
      </c>
      <c r="AQ12" t="str">
        <f>'Karolek Asi'!B42</f>
        <v>1:0</v>
      </c>
      <c r="AR12" t="str">
        <f>'Karolek Asi'!B43</f>
        <v>3:0</v>
      </c>
      <c r="AS12" t="str">
        <f>'Karolek Asi'!B44</f>
        <v>0:1</v>
      </c>
      <c r="AT12" t="str">
        <f>'Karolek Asi'!B45</f>
        <v>0:1</v>
      </c>
      <c r="AU12" t="str">
        <f>'Karolek Asi'!B46</f>
        <v>2:0</v>
      </c>
      <c r="AV12" t="str">
        <f>'Karolek Asi'!B47</f>
        <v>2:0</v>
      </c>
      <c r="AW12" t="str">
        <f>'Karolek Asi'!B48</f>
        <v>0:2</v>
      </c>
      <c r="AX12" t="str">
        <f>'Karolek Asi'!B49</f>
        <v>2:0</v>
      </c>
      <c r="AY12" t="str">
        <f>'Karolek Asi'!B50</f>
        <v>2:2</v>
      </c>
      <c r="AZ12" t="str">
        <f>'Karolek Asi'!B51</f>
        <v>2:0</v>
      </c>
      <c r="BA12" t="str">
        <f>'Karolek Asi'!B52</f>
        <v>1:3</v>
      </c>
      <c r="BB12" t="str">
        <f>'Karolek Asi'!B53</f>
        <v>1:0</v>
      </c>
      <c r="BC12" t="str">
        <f>'Karolek Asi'!B54</f>
        <v>1:1</v>
      </c>
      <c r="BD12" t="str">
        <f>'Karolek Asi'!B55</f>
        <v>0:0</v>
      </c>
      <c r="BE12" t="str">
        <f>'Karolek Asi'!B56</f>
        <v>0:2</v>
      </c>
      <c r="BF12" t="str">
        <f>'Karolek Asi'!B57</f>
        <v>0:1</v>
      </c>
      <c r="BG12" t="str">
        <f>'Karolek Asi'!B58</f>
        <v>2:1</v>
      </c>
      <c r="BH12" t="str">
        <f>'Karolek Asi'!B59</f>
        <v>0:2</v>
      </c>
      <c r="BI12" t="str">
        <f>'Karolek Asi'!B60</f>
        <v>1:1</v>
      </c>
      <c r="BJ12" t="str">
        <f>'Karolek Asi'!B61</f>
        <v>1:0</v>
      </c>
      <c r="BK12" t="str">
        <f>'Karolek Asi'!B62</f>
        <v>1:3</v>
      </c>
      <c r="BL12" t="str">
        <f>'Karolek Asi'!B63</f>
        <v>2:0</v>
      </c>
      <c r="BM12" t="str">
        <f>'Karolek Asi'!B64</f>
        <v>1:1</v>
      </c>
      <c r="BN12" t="str">
        <f>'Karolek Asi'!B65</f>
        <v>1:2</v>
      </c>
      <c r="BO12" t="str">
        <f>'Karolek Asi'!B66</f>
        <v>1:0</v>
      </c>
      <c r="BP12" t="str">
        <f>'Karolek Asi'!B67</f>
        <v>0:2</v>
      </c>
      <c r="BQ12" t="str">
        <f>'Karolek Asi'!B68</f>
        <v>0:2</v>
      </c>
      <c r="BR12" t="str">
        <f>'Karolek Asi'!B69</f>
        <v>1:0</v>
      </c>
      <c r="BS12" t="str">
        <f>'Karolek Asi'!B70</f>
        <v>1:1</v>
      </c>
      <c r="BT12" t="str">
        <f>'Karolek Asi'!B71</f>
        <v>0:1</v>
      </c>
      <c r="BU12" t="str">
        <f>'Karolek Asi'!B72</f>
        <v>0:0</v>
      </c>
      <c r="BV12" t="str">
        <f>'Karolek Asi'!B73</f>
        <v>0:3</v>
      </c>
      <c r="BW12">
        <f>'Karolek Asi'!D74</f>
        <v>1</v>
      </c>
    </row>
    <row r="13" spans="1:75">
      <c r="A13" s="29" t="s">
        <v>3</v>
      </c>
      <c r="B13" s="32">
        <f>BW13</f>
        <v>1</v>
      </c>
      <c r="C13" t="str">
        <f>'Janusz Soko'!B2</f>
        <v>3:2</v>
      </c>
      <c r="D13" t="str">
        <f>'Janusz Soko'!B3</f>
        <v>2:2</v>
      </c>
      <c r="E13" t="str">
        <f>'Janusz Soko'!B4</f>
        <v>0:1</v>
      </c>
      <c r="F13" t="str">
        <f>'Janusz Soko'!B5</f>
        <v>1:2</v>
      </c>
      <c r="G13" t="str">
        <f>'Janusz Soko'!B6</f>
        <v>3:1</v>
      </c>
      <c r="H13" t="str">
        <f>'Janusz Soko'!B7</f>
        <v>3:2</v>
      </c>
      <c r="I13" t="str">
        <f>'Janusz Soko'!B8</f>
        <v>2:2</v>
      </c>
      <c r="J13" t="str">
        <f>'Janusz Soko'!B9</f>
        <v>0:1</v>
      </c>
      <c r="K13" t="str">
        <f>'Janusz Soko'!B10</f>
        <v>1:2</v>
      </c>
      <c r="L13" t="str">
        <f>'Janusz Soko'!B11</f>
        <v>3:1</v>
      </c>
      <c r="M13" t="str">
        <f>'Janusz Soko'!B12</f>
        <v>3:2</v>
      </c>
      <c r="N13" t="str">
        <f>'Janusz Soko'!B13</f>
        <v>2:2</v>
      </c>
      <c r="O13" t="str">
        <f>'Janusz Soko'!B14</f>
        <v>0:1</v>
      </c>
      <c r="P13" t="str">
        <f>'Janusz Soko'!B15</f>
        <v>1:2</v>
      </c>
      <c r="Q13" t="str">
        <f>'Janusz Soko'!B16</f>
        <v>3:1</v>
      </c>
      <c r="R13" t="str">
        <f>'Janusz Soko'!B17</f>
        <v>3:2</v>
      </c>
      <c r="S13" t="str">
        <f>'Janusz Soko'!B18</f>
        <v>2:2</v>
      </c>
      <c r="T13" t="str">
        <f>'Janusz Soko'!B19</f>
        <v>0:1</v>
      </c>
      <c r="U13" t="str">
        <f>'Janusz Soko'!B20</f>
        <v>1:2</v>
      </c>
      <c r="V13" t="str">
        <f>'Janusz Soko'!B21</f>
        <v>3:1</v>
      </c>
      <c r="W13" t="str">
        <f>'Janusz Soko'!B22</f>
        <v>3:2</v>
      </c>
      <c r="X13" t="str">
        <f>'Janusz Soko'!B23</f>
        <v>2:2</v>
      </c>
      <c r="Y13" t="str">
        <f>'Janusz Soko'!B24</f>
        <v>0:1</v>
      </c>
      <c r="Z13" t="str">
        <f>'Janusz Soko'!B25</f>
        <v>1:2</v>
      </c>
      <c r="AA13" t="str">
        <f>'Janusz Soko'!B26</f>
        <v>3:1</v>
      </c>
      <c r="AB13" t="str">
        <f>'Janusz Soko'!B27</f>
        <v>3:2</v>
      </c>
      <c r="AC13" t="str">
        <f>'Janusz Soko'!B28</f>
        <v>2:2</v>
      </c>
      <c r="AD13" t="str">
        <f>'Janusz Soko'!B29</f>
        <v>0:1</v>
      </c>
      <c r="AE13" t="str">
        <f>'Janusz Soko'!B30</f>
        <v>1:2</v>
      </c>
      <c r="AF13" t="str">
        <f>'Janusz Soko'!B31</f>
        <v>3:1</v>
      </c>
      <c r="AG13" t="str">
        <f>'Janusz Soko'!B32</f>
        <v>3:2</v>
      </c>
      <c r="AH13" t="str">
        <f>'Janusz Soko'!B33</f>
        <v>2:2</v>
      </c>
      <c r="AI13" t="str">
        <f>'Janusz Soko'!B34</f>
        <v>0:1</v>
      </c>
      <c r="AJ13" t="str">
        <f>'Janusz Soko'!B35</f>
        <v>1:2</v>
      </c>
      <c r="AK13" t="str">
        <f>'Janusz Soko'!B36</f>
        <v>3:1</v>
      </c>
      <c r="AL13" t="str">
        <f>'Janusz Soko'!B37</f>
        <v>3:2</v>
      </c>
      <c r="AM13" t="str">
        <f>'Janusz Soko'!B38</f>
        <v>2:2</v>
      </c>
      <c r="AN13" t="str">
        <f>'Janusz Soko'!B39</f>
        <v>0:1</v>
      </c>
      <c r="AO13" t="str">
        <f>'Janusz Soko'!B40</f>
        <v>1:2</v>
      </c>
      <c r="AP13" t="str">
        <f>'Janusz Soko'!B41</f>
        <v>3:1</v>
      </c>
      <c r="AQ13" t="str">
        <f>'Janusz Soko'!B42</f>
        <v>3:2</v>
      </c>
      <c r="AR13" t="str">
        <f>'Janusz Soko'!B43</f>
        <v>2:2</v>
      </c>
      <c r="AS13" t="str">
        <f>'Janusz Soko'!B44</f>
        <v>0:1</v>
      </c>
      <c r="AT13" t="str">
        <f>'Janusz Soko'!B45</f>
        <v>1:2</v>
      </c>
      <c r="AU13" t="str">
        <f>'Janusz Soko'!B46</f>
        <v>3:1</v>
      </c>
      <c r="AV13" t="str">
        <f>'Janusz Soko'!B47</f>
        <v>3:2</v>
      </c>
      <c r="AW13" t="str">
        <f>'Janusz Soko'!B48</f>
        <v>2:2</v>
      </c>
      <c r="AX13" t="str">
        <f>'Janusz Soko'!B49</f>
        <v>0:1</v>
      </c>
      <c r="AY13" t="str">
        <f>'Janusz Soko'!B50</f>
        <v>1:2</v>
      </c>
      <c r="AZ13" t="str">
        <f>'Janusz Soko'!B51</f>
        <v>3:1</v>
      </c>
      <c r="BA13" t="str">
        <f>'Janusz Soko'!B52</f>
        <v>3:2</v>
      </c>
      <c r="BB13" t="str">
        <f>'Janusz Soko'!B53</f>
        <v>2:2</v>
      </c>
      <c r="BC13" t="str">
        <f>'Janusz Soko'!B54</f>
        <v>0:1</v>
      </c>
      <c r="BD13" t="str">
        <f>'Janusz Soko'!B55</f>
        <v>1:2</v>
      </c>
      <c r="BE13" t="str">
        <f>'Janusz Soko'!B56</f>
        <v>3:1</v>
      </c>
      <c r="BF13" t="str">
        <f>'Janusz Soko'!B57</f>
        <v>3:2</v>
      </c>
      <c r="BG13" t="str">
        <f>'Janusz Soko'!B58</f>
        <v>2:2</v>
      </c>
      <c r="BH13" t="str">
        <f>'Janusz Soko'!B59</f>
        <v>0:1</v>
      </c>
      <c r="BI13" t="str">
        <f>'Janusz Soko'!B60</f>
        <v>1:2</v>
      </c>
      <c r="BJ13" t="str">
        <f>'Janusz Soko'!B61</f>
        <v>3:1</v>
      </c>
      <c r="BK13" t="str">
        <f>'Janusz Soko'!B62</f>
        <v>3:2</v>
      </c>
      <c r="BL13" t="str">
        <f>'Janusz Soko'!B63</f>
        <v>2:2</v>
      </c>
      <c r="BM13" t="str">
        <f>'Janusz Soko'!B64</f>
        <v>0:1</v>
      </c>
      <c r="BN13" t="str">
        <f>'Janusz Soko'!B65</f>
        <v>1:2</v>
      </c>
      <c r="BO13" t="str">
        <f>'Janusz Soko'!B66</f>
        <v>3:1</v>
      </c>
      <c r="BP13" t="str">
        <f>'Janusz Soko'!B67</f>
        <v>3:2</v>
      </c>
      <c r="BQ13" t="str">
        <f>'Janusz Soko'!B68</f>
        <v>2:2</v>
      </c>
      <c r="BR13" t="str">
        <f>'Janusz Soko'!B69</f>
        <v>0:1</v>
      </c>
      <c r="BS13" t="str">
        <f>'Janusz Soko'!B70</f>
        <v>1:2</v>
      </c>
      <c r="BT13" t="str">
        <f>'Janusz Soko'!B71</f>
        <v>3:1</v>
      </c>
      <c r="BU13" t="str">
        <f>'Janusz Soko'!B72</f>
        <v>3:2</v>
      </c>
      <c r="BV13" t="str">
        <f>'Janusz Soko'!B73</f>
        <v>2:2</v>
      </c>
      <c r="BW13">
        <f>'Janusz Soko'!D74</f>
        <v>1</v>
      </c>
    </row>
    <row r="14" spans="1:75">
      <c r="A14" s="29" t="s">
        <v>4</v>
      </c>
      <c r="B14" s="32">
        <f>BW14</f>
        <v>1</v>
      </c>
      <c r="C14" t="str">
        <f>'Michał Klaudii'!B2</f>
        <v>3:1</v>
      </c>
      <c r="D14" t="str">
        <f>'Michał Klaudii'!B3</f>
        <v>1:2</v>
      </c>
      <c r="E14" t="str">
        <f>'Michał Klaudii'!B4</f>
        <v>2:1</v>
      </c>
      <c r="F14" t="str">
        <f>'Michał Klaudii'!B5</f>
        <v>2:0</v>
      </c>
      <c r="G14" t="str">
        <f>'Michał Klaudii'!B6</f>
        <v>0:2</v>
      </c>
      <c r="H14" t="str">
        <f>'Michał Klaudii'!B7</f>
        <v>2:1</v>
      </c>
      <c r="I14" t="str">
        <f>'Michał Klaudii'!B8</f>
        <v>0:2</v>
      </c>
      <c r="J14" t="str">
        <f>'Michał Klaudii'!B9</f>
        <v>1:1</v>
      </c>
      <c r="K14" t="str">
        <f>'Michał Klaudii'!B10</f>
        <v>4:0</v>
      </c>
      <c r="L14" t="str">
        <f>'Michał Klaudii'!B11</f>
        <v>2:1</v>
      </c>
      <c r="M14" t="str">
        <f>'Michał Klaudii'!B12</f>
        <v>1:1</v>
      </c>
      <c r="N14" t="str">
        <f>'Michał Klaudii'!B13</f>
        <v>2:0</v>
      </c>
      <c r="O14" t="str">
        <f>'Michał Klaudii'!B14</f>
        <v>6:0</v>
      </c>
      <c r="P14" t="str">
        <f>'Michał Klaudii'!B15</f>
        <v>2:1</v>
      </c>
      <c r="Q14" t="str">
        <f>'Michał Klaudii'!B16</f>
        <v>0:2</v>
      </c>
      <c r="R14" t="str">
        <f>'Michał Klaudii'!B17</f>
        <v>1:1</v>
      </c>
      <c r="S14" t="str">
        <f>'Michał Klaudii'!B18</f>
        <v>2:0</v>
      </c>
      <c r="T14" t="str">
        <f>'Michał Klaudii'!B19</f>
        <v>1:2</v>
      </c>
      <c r="U14" t="str">
        <f>'Michał Klaudii'!B20</f>
        <v>3:0</v>
      </c>
      <c r="V14" t="str">
        <f>'Michał Klaudii'!B21</f>
        <v>2:0</v>
      </c>
      <c r="W14" t="str">
        <f>'Michał Klaudii'!B22</f>
        <v>3:0</v>
      </c>
      <c r="X14" t="str">
        <f>'Michał Klaudii'!B23</f>
        <v>2:1</v>
      </c>
      <c r="Y14" t="str">
        <f>'Michał Klaudii'!B24</f>
        <v>2:0</v>
      </c>
      <c r="Z14" t="str">
        <f>'Michał Klaudii'!B25</f>
        <v>1:2</v>
      </c>
      <c r="AA14" t="str">
        <f>'Michał Klaudii'!B26</f>
        <v>2:0</v>
      </c>
      <c r="AB14" t="str">
        <f>'Michał Klaudii'!B27</f>
        <v>2:1</v>
      </c>
      <c r="AC14" t="str">
        <f>'Michał Klaudii'!B28</f>
        <v>2:1</v>
      </c>
      <c r="AD14" t="str">
        <f>'Michał Klaudii'!B29</f>
        <v>2:0</v>
      </c>
      <c r="AE14" t="str">
        <f>'Michał Klaudii'!B30</f>
        <v>2:1</v>
      </c>
      <c r="AF14" t="str">
        <f>'Michał Klaudii'!B31</f>
        <v>1:1</v>
      </c>
      <c r="AG14" t="str">
        <f>'Michał Klaudii'!B32</f>
        <v>4:0</v>
      </c>
      <c r="AH14" t="str">
        <f>'Michał Klaudii'!B33</f>
        <v>2:1</v>
      </c>
      <c r="AI14" t="str">
        <f>'Michał Klaudii'!B34</f>
        <v>2:1</v>
      </c>
      <c r="AJ14" t="str">
        <f>'Michał Klaudii'!B35</f>
        <v>3:1</v>
      </c>
      <c r="AK14" t="str">
        <f>'Michał Klaudii'!B36</f>
        <v>4:0</v>
      </c>
      <c r="AL14" t="str">
        <f>'Michał Klaudii'!B37</f>
        <v>1:2</v>
      </c>
      <c r="AM14" t="str">
        <f>'Michał Klaudii'!B38</f>
        <v>4:0</v>
      </c>
      <c r="AN14" t="str">
        <f>'Michał Klaudii'!B39</f>
        <v>2:0</v>
      </c>
      <c r="AO14" t="str">
        <f>'Michał Klaudii'!B40</f>
        <v>3:0</v>
      </c>
      <c r="AP14" t="str">
        <f>'Michał Klaudii'!B41</f>
        <v>1:2</v>
      </c>
      <c r="AQ14" t="str">
        <f>'Michał Klaudii'!B42</f>
        <v>2:0</v>
      </c>
      <c r="AR14" t="str">
        <f>'Michał Klaudii'!B43</f>
        <v>3:0</v>
      </c>
      <c r="AS14" t="str">
        <f>'Michał Klaudii'!B44</f>
        <v>1:1</v>
      </c>
      <c r="AT14" t="str">
        <f>'Michał Klaudii'!B45</f>
        <v>0:2</v>
      </c>
      <c r="AU14" t="str">
        <f>'Michał Klaudii'!B46</f>
        <v>3:1</v>
      </c>
      <c r="AV14" t="str">
        <f>'Michał Klaudii'!B47</f>
        <v>2:1</v>
      </c>
      <c r="AW14" t="str">
        <f>'Michał Klaudii'!B48</f>
        <v>0:3</v>
      </c>
      <c r="AX14" t="str">
        <f>'Michał Klaudii'!B49</f>
        <v>3:0</v>
      </c>
      <c r="AY14" t="str">
        <f>'Michał Klaudii'!B50</f>
        <v>2:1</v>
      </c>
      <c r="AZ14" t="str">
        <f>'Michał Klaudii'!B51</f>
        <v>2:0</v>
      </c>
      <c r="BA14" t="str">
        <f>'Michał Klaudii'!B52</f>
        <v>0:2</v>
      </c>
      <c r="BB14" t="str">
        <f>'Michał Klaudii'!B53</f>
        <v>3:0</v>
      </c>
      <c r="BC14" t="str">
        <f>'Michał Klaudii'!B54</f>
        <v>1:2</v>
      </c>
      <c r="BD14" t="str">
        <f>'Michał Klaudii'!B55</f>
        <v>1:1</v>
      </c>
      <c r="BE14" t="str">
        <f>'Michał Klaudii'!B56</f>
        <v>0:3</v>
      </c>
      <c r="BF14" t="str">
        <f>'Michał Klaudii'!B57</f>
        <v>1:3</v>
      </c>
      <c r="BG14" t="str">
        <f>'Michał Klaudii'!B58</f>
        <v>1:1</v>
      </c>
      <c r="BH14" t="str">
        <f>'Michał Klaudii'!B59</f>
        <v>0:2</v>
      </c>
      <c r="BI14" t="str">
        <f>'Michał Klaudii'!B60</f>
        <v>1:1</v>
      </c>
      <c r="BJ14" t="str">
        <f>'Michał Klaudii'!B61</f>
        <v>2:1</v>
      </c>
      <c r="BK14" t="str">
        <f>'Michał Klaudii'!B62</f>
        <v>0:2</v>
      </c>
      <c r="BL14" t="str">
        <f>'Michał Klaudii'!B63</f>
        <v>2:0</v>
      </c>
      <c r="BM14" t="str">
        <f>'Michał Klaudii'!B64</f>
        <v>1:1</v>
      </c>
      <c r="BN14" t="str">
        <f>'Michał Klaudii'!B65</f>
        <v>1:2</v>
      </c>
      <c r="BO14" t="str">
        <f>'Michał Klaudii'!B66</f>
        <v>1:1</v>
      </c>
      <c r="BP14" t="str">
        <f>'Michał Klaudii'!B67</f>
        <v>0:3</v>
      </c>
      <c r="BQ14" t="str">
        <f>'Michał Klaudii'!B68</f>
        <v>0:3</v>
      </c>
      <c r="BR14" t="str">
        <f>'Michał Klaudii'!B69</f>
        <v>2:1</v>
      </c>
      <c r="BS14" t="str">
        <f>'Michał Klaudii'!B70</f>
        <v>1:2</v>
      </c>
      <c r="BT14" t="str">
        <f>'Michał Klaudii'!B71</f>
        <v>1:1</v>
      </c>
      <c r="BU14" t="str">
        <f>'Michał Klaudii'!B72</f>
        <v>1:1</v>
      </c>
      <c r="BV14" t="str">
        <f>'Michał Klaudii'!B73</f>
        <v>0:4</v>
      </c>
      <c r="BW14">
        <f>'Michał Klaudii'!D74</f>
        <v>1</v>
      </c>
    </row>
    <row r="15" spans="1:75">
      <c r="A15" s="29" t="s">
        <v>5</v>
      </c>
      <c r="B15" s="32">
        <f>BW15</f>
        <v>1</v>
      </c>
      <c r="C15" t="str">
        <f>'Monika Soko'!B2</f>
        <v>2:1</v>
      </c>
      <c r="D15" t="str">
        <f>'Monika Soko'!B3</f>
        <v>1:1</v>
      </c>
      <c r="E15" t="str">
        <f>'Monika Soko'!B4</f>
        <v>2:0</v>
      </c>
      <c r="F15" t="str">
        <f>'Monika Soko'!B5</f>
        <v>3:1</v>
      </c>
      <c r="G15" t="str">
        <f>'Monika Soko'!B6</f>
        <v>1:0</v>
      </c>
      <c r="H15" t="str">
        <f>'Monika Soko'!B7</f>
        <v>2:1</v>
      </c>
      <c r="I15" t="str">
        <f>'Monika Soko'!B8</f>
        <v>1:1</v>
      </c>
      <c r="J15" t="str">
        <f>'Monika Soko'!B9</f>
        <v>2:0</v>
      </c>
      <c r="K15" t="str">
        <f>'Monika Soko'!B10</f>
        <v>3:1</v>
      </c>
      <c r="L15" t="str">
        <f>'Monika Soko'!B11</f>
        <v>1:0</v>
      </c>
      <c r="M15" t="str">
        <f>'Monika Soko'!B12</f>
        <v>2:1</v>
      </c>
      <c r="N15" t="str">
        <f>'Monika Soko'!B13</f>
        <v>1:1</v>
      </c>
      <c r="O15" t="str">
        <f>'Monika Soko'!B14</f>
        <v>2:0</v>
      </c>
      <c r="P15" t="str">
        <f>'Monika Soko'!B15</f>
        <v>3:1</v>
      </c>
      <c r="Q15" t="str">
        <f>'Monika Soko'!B16</f>
        <v>1:0</v>
      </c>
      <c r="R15" t="str">
        <f>'Monika Soko'!B17</f>
        <v>2:1</v>
      </c>
      <c r="S15" t="str">
        <f>'Monika Soko'!B18</f>
        <v>1:1</v>
      </c>
      <c r="T15" t="str">
        <f>'Monika Soko'!B19</f>
        <v>2:0</v>
      </c>
      <c r="U15" t="str">
        <f>'Monika Soko'!B20</f>
        <v>3:1</v>
      </c>
      <c r="V15" t="str">
        <f>'Monika Soko'!B21</f>
        <v>1:0</v>
      </c>
      <c r="W15" t="str">
        <f>'Monika Soko'!B22</f>
        <v>2:1</v>
      </c>
      <c r="X15" t="str">
        <f>'Monika Soko'!B23</f>
        <v>1:1</v>
      </c>
      <c r="Y15" t="str">
        <f>'Monika Soko'!B24</f>
        <v>2:0</v>
      </c>
      <c r="Z15" t="str">
        <f>'Monika Soko'!B25</f>
        <v>3:1</v>
      </c>
      <c r="AA15" t="str">
        <f>'Monika Soko'!B26</f>
        <v>1:0</v>
      </c>
      <c r="AB15" t="str">
        <f>'Monika Soko'!B27</f>
        <v>2:1</v>
      </c>
      <c r="AC15" t="str">
        <f>'Monika Soko'!B28</f>
        <v>1:1</v>
      </c>
      <c r="AD15" t="str">
        <f>'Monika Soko'!B29</f>
        <v>2:0</v>
      </c>
      <c r="AE15" t="str">
        <f>'Monika Soko'!B30</f>
        <v>3:1</v>
      </c>
      <c r="AF15" t="str">
        <f>'Monika Soko'!B31</f>
        <v>1:0</v>
      </c>
      <c r="AG15" t="str">
        <f>'Monika Soko'!B32</f>
        <v>2:1</v>
      </c>
      <c r="AH15" t="str">
        <f>'Monika Soko'!B33</f>
        <v>1:1</v>
      </c>
      <c r="AI15" t="str">
        <f>'Monika Soko'!B34</f>
        <v>2:0</v>
      </c>
      <c r="AJ15" t="str">
        <f>'Monika Soko'!B35</f>
        <v>3:1</v>
      </c>
      <c r="AK15" t="str">
        <f>'Monika Soko'!B36</f>
        <v>1:0</v>
      </c>
      <c r="AL15" t="str">
        <f>'Monika Soko'!B37</f>
        <v>2:1</v>
      </c>
      <c r="AM15" t="str">
        <f>'Monika Soko'!B38</f>
        <v>1:1</v>
      </c>
      <c r="AN15" t="str">
        <f>'Monika Soko'!B39</f>
        <v>2:0</v>
      </c>
      <c r="AO15" t="str">
        <f>'Monika Soko'!B40</f>
        <v>3:1</v>
      </c>
      <c r="AP15" t="str">
        <f>'Monika Soko'!B41</f>
        <v>1:0</v>
      </c>
      <c r="AQ15" t="str">
        <f>'Monika Soko'!B42</f>
        <v>2:1</v>
      </c>
      <c r="AR15" t="str">
        <f>'Monika Soko'!B43</f>
        <v>1:1</v>
      </c>
      <c r="AS15" t="str">
        <f>'Monika Soko'!B44</f>
        <v>2:0</v>
      </c>
      <c r="AT15" t="str">
        <f>'Monika Soko'!B45</f>
        <v>3:1</v>
      </c>
      <c r="AU15" t="str">
        <f>'Monika Soko'!B46</f>
        <v>1:0</v>
      </c>
      <c r="AV15" t="str">
        <f>'Monika Soko'!B47</f>
        <v>2:1</v>
      </c>
      <c r="AW15" t="str">
        <f>'Monika Soko'!B48</f>
        <v>1:1</v>
      </c>
      <c r="AX15" t="str">
        <f>'Monika Soko'!B49</f>
        <v>2:0</v>
      </c>
      <c r="AY15" t="str">
        <f>'Monika Soko'!B50</f>
        <v>3:1</v>
      </c>
      <c r="AZ15" t="str">
        <f>'Monika Soko'!B51</f>
        <v>1:0</v>
      </c>
      <c r="BA15" t="str">
        <f>'Monika Soko'!B52</f>
        <v>2:1</v>
      </c>
      <c r="BB15" t="str">
        <f>'Monika Soko'!B53</f>
        <v>1:1</v>
      </c>
      <c r="BC15" t="str">
        <f>'Monika Soko'!B54</f>
        <v>2:0</v>
      </c>
      <c r="BD15" t="str">
        <f>'Monika Soko'!B55</f>
        <v>3:1</v>
      </c>
      <c r="BE15" t="str">
        <f>'Monika Soko'!B56</f>
        <v>1:0</v>
      </c>
      <c r="BF15" t="str">
        <f>'Monika Soko'!B57</f>
        <v>2:1</v>
      </c>
      <c r="BG15" t="str">
        <f>'Monika Soko'!B58</f>
        <v>1:1</v>
      </c>
      <c r="BH15" t="str">
        <f>'Monika Soko'!B59</f>
        <v>2:0</v>
      </c>
      <c r="BI15" t="str">
        <f>'Monika Soko'!B60</f>
        <v>3:1</v>
      </c>
      <c r="BJ15" t="str">
        <f>'Monika Soko'!B61</f>
        <v>1:0</v>
      </c>
      <c r="BK15" t="str">
        <f>'Monika Soko'!B62</f>
        <v>2:1</v>
      </c>
      <c r="BL15" t="str">
        <f>'Monika Soko'!B63</f>
        <v>1:1</v>
      </c>
      <c r="BM15" t="str">
        <f>'Monika Soko'!B64</f>
        <v>2:0</v>
      </c>
      <c r="BN15" t="str">
        <f>'Monika Soko'!B65</f>
        <v>3:1</v>
      </c>
      <c r="BO15" t="str">
        <f>'Monika Soko'!B66</f>
        <v>1:0</v>
      </c>
      <c r="BP15" t="str">
        <f>'Monika Soko'!B67</f>
        <v>2:1</v>
      </c>
      <c r="BQ15" t="str">
        <f>'Monika Soko'!B68</f>
        <v>1:1</v>
      </c>
      <c r="BR15" t="str">
        <f>'Monika Soko'!B69</f>
        <v>2:0</v>
      </c>
      <c r="BS15" t="str">
        <f>'Monika Soko'!B70</f>
        <v>3:1</v>
      </c>
      <c r="BT15" t="str">
        <f>'Monika Soko'!B71</f>
        <v>1:0</v>
      </c>
      <c r="BU15" t="str">
        <f>'Monika Soko'!B72</f>
        <v>2:1</v>
      </c>
      <c r="BV15" t="str">
        <f>'Monika Soko'!B73</f>
        <v>1:1</v>
      </c>
      <c r="BW15">
        <f>'Monika Soko'!D74</f>
        <v>1</v>
      </c>
    </row>
    <row r="16" spans="1:75">
      <c r="A16" s="29" t="s">
        <v>6</v>
      </c>
      <c r="B16" s="32">
        <f>BW16</f>
        <v>1</v>
      </c>
      <c r="C16" t="str">
        <f>Adam!B2</f>
        <v>3:0</v>
      </c>
      <c r="D16" t="str">
        <f>Adam!B3</f>
        <v>0:1</v>
      </c>
      <c r="E16" t="str">
        <f>Adam!B4</f>
        <v>2:1</v>
      </c>
      <c r="F16" t="str">
        <f>Adam!B5</f>
        <v>3:2</v>
      </c>
      <c r="G16" t="str">
        <f>Adam!B6</f>
        <v>0:1</v>
      </c>
      <c r="H16" t="str">
        <f>Adam!B7</f>
        <v>3:1</v>
      </c>
      <c r="I16" t="str">
        <f>Adam!B8</f>
        <v>2:1</v>
      </c>
      <c r="J16" t="str">
        <f>Adam!B9</f>
        <v>2:1</v>
      </c>
      <c r="K16" t="str">
        <f>Adam!B10</f>
        <v>2:0</v>
      </c>
      <c r="L16" t="str">
        <f>Adam!B11</f>
        <v>3:1</v>
      </c>
      <c r="M16" t="str">
        <f>Adam!B12</f>
        <v>2:2</v>
      </c>
      <c r="N16" t="str">
        <f>Adam!B13</f>
        <v>1:2</v>
      </c>
      <c r="O16" t="str">
        <f>Adam!B14</f>
        <v>4:0</v>
      </c>
      <c r="P16" t="str">
        <f>Adam!B15</f>
        <v>2:0</v>
      </c>
      <c r="Q16" t="str">
        <f>Adam!B16</f>
        <v>1:3</v>
      </c>
      <c r="R16" t="str">
        <f>Adam!B17</f>
        <v>1:3</v>
      </c>
      <c r="S16" t="str">
        <f>Adam!B18</f>
        <v>2:2</v>
      </c>
      <c r="T16" t="str">
        <f>Adam!B19</f>
        <v>1:0</v>
      </c>
      <c r="U16" t="str">
        <f>Adam!B20</f>
        <v>2:0</v>
      </c>
      <c r="V16" t="str">
        <f>Adam!B21</f>
        <v>2:1</v>
      </c>
      <c r="W16" t="str">
        <f>Adam!B22</f>
        <v>3:0</v>
      </c>
      <c r="X16" t="str">
        <f>Adam!B23</f>
        <v>3:1</v>
      </c>
      <c r="Y16" t="str">
        <f>Adam!B24</f>
        <v>2:0</v>
      </c>
      <c r="Z16" t="str">
        <f>Adam!B25</f>
        <v>0:1</v>
      </c>
      <c r="AA16" t="str">
        <f>Adam!B26</f>
        <v>0:1</v>
      </c>
      <c r="AB16" t="str">
        <f>Adam!B27</f>
        <v>2:0</v>
      </c>
      <c r="AC16" t="str">
        <f>Adam!B28</f>
        <v>1:0</v>
      </c>
      <c r="AD16" t="str">
        <f>Adam!B29</f>
        <v>2:0</v>
      </c>
      <c r="AE16" t="str">
        <f>Adam!B30</f>
        <v>1:1</v>
      </c>
      <c r="AF16" t="str">
        <f>Adam!B31</f>
        <v>0:0</v>
      </c>
      <c r="AG16" t="str">
        <f>Adam!B32</f>
        <v>3:1</v>
      </c>
      <c r="AH16" t="str">
        <f>Adam!B33</f>
        <v>1:1</v>
      </c>
      <c r="AI16" t="str">
        <f>Adam!B34</f>
        <v>2:1</v>
      </c>
      <c r="AJ16" t="str">
        <f>Adam!B35</f>
        <v>3:0</v>
      </c>
      <c r="AK16" t="str">
        <f>Adam!B36</f>
        <v>2:1</v>
      </c>
      <c r="AL16" t="str">
        <f>Adam!B37</f>
        <v>0:2</v>
      </c>
      <c r="AM16" t="str">
        <f>Adam!B38</f>
        <v>3:1</v>
      </c>
      <c r="AN16" t="str">
        <f>Adam!B39</f>
        <v>1:0</v>
      </c>
      <c r="AO16" t="str">
        <f>Adam!B40</f>
        <v>3:0</v>
      </c>
      <c r="AP16" t="str">
        <f>Adam!B41</f>
        <v>1:2</v>
      </c>
      <c r="AQ16" t="str">
        <f>Adam!B42</f>
        <v>2:0</v>
      </c>
      <c r="AR16" t="str">
        <f>Adam!B43</f>
        <v>3:0</v>
      </c>
      <c r="AS16" t="str">
        <f>Adam!B44</f>
        <v>1:2</v>
      </c>
      <c r="AT16" t="str">
        <f>Adam!B45</f>
        <v>1:2</v>
      </c>
      <c r="AU16" t="str">
        <f>Adam!B46</f>
        <v>4:0</v>
      </c>
      <c r="AV16" t="str">
        <f>Adam!B47</f>
        <v>2:0</v>
      </c>
      <c r="AW16" t="str">
        <f>Adam!B48</f>
        <v>0:2</v>
      </c>
      <c r="AX16" t="str">
        <f>Adam!B49</f>
        <v>3:0</v>
      </c>
      <c r="AY16" t="str">
        <f>Adam!B50</f>
        <v>1:1</v>
      </c>
      <c r="AZ16" t="str">
        <f>Adam!B51</f>
        <v>0:0</v>
      </c>
      <c r="BA16" t="str">
        <f>Adam!B52</f>
        <v>0:2</v>
      </c>
      <c r="BB16" t="str">
        <f>Adam!B53</f>
        <v>3:1</v>
      </c>
      <c r="BC16" t="str">
        <f>Adam!B54</f>
        <v>1:0</v>
      </c>
      <c r="BD16" t="str">
        <f>Adam!B55</f>
        <v>2:2</v>
      </c>
      <c r="BE16" t="str">
        <f>Adam!B56</f>
        <v>0:3</v>
      </c>
      <c r="BF16" t="str">
        <f>Adam!B57</f>
        <v>1:3</v>
      </c>
      <c r="BG16" t="str">
        <f>Adam!B58</f>
        <v>2:2</v>
      </c>
      <c r="BH16" t="str">
        <f>Adam!B59</f>
        <v>1:2</v>
      </c>
      <c r="BI16" t="str">
        <f>Adam!B60</f>
        <v>1:0</v>
      </c>
      <c r="BJ16" t="str">
        <f>Adam!B61</f>
        <v>1:1</v>
      </c>
      <c r="BK16" t="str">
        <f>Adam!B62</f>
        <v>1:3</v>
      </c>
      <c r="BL16" t="str">
        <f>Adam!B63</f>
        <v>2:0</v>
      </c>
      <c r="BM16" t="str">
        <f>Adam!B64</f>
        <v>1:2</v>
      </c>
      <c r="BN16" t="str">
        <f>Adam!B65</f>
        <v>0:2</v>
      </c>
      <c r="BO16" t="str">
        <f>Adam!B66</f>
        <v>2:1</v>
      </c>
      <c r="BP16" t="str">
        <f>Adam!B67</f>
        <v>1:0</v>
      </c>
      <c r="BQ16" t="str">
        <f>Adam!B68</f>
        <v>0:3</v>
      </c>
      <c r="BR16" t="str">
        <f>Adam!B69</f>
        <v>1:0</v>
      </c>
      <c r="BS16" t="str">
        <f>Adam!B70</f>
        <v>1:0</v>
      </c>
      <c r="BT16" t="str">
        <f>Adam!B71</f>
        <v>0:0</v>
      </c>
      <c r="BU16" t="str">
        <f>Adam!B72</f>
        <v>0:1</v>
      </c>
      <c r="BV16" t="str">
        <f>Adam!B73</f>
        <v>0:4</v>
      </c>
      <c r="BW16">
        <f>Adam!D74</f>
        <v>1</v>
      </c>
    </row>
    <row r="17" spans="1:75">
      <c r="A17" s="29" t="s">
        <v>7</v>
      </c>
      <c r="B17" s="32">
        <f>BW17</f>
        <v>1</v>
      </c>
      <c r="C17" t="str">
        <f>'Ola L'!B2</f>
        <v>3:0</v>
      </c>
      <c r="D17" t="str">
        <f>'Ola L'!B3</f>
        <v>2:2</v>
      </c>
      <c r="E17" t="str">
        <f>'Ola L'!B4</f>
        <v>2:1</v>
      </c>
      <c r="F17" t="str">
        <f>'Ola L'!B5</f>
        <v>1:1</v>
      </c>
      <c r="G17" t="str">
        <f>'Ola L'!B6</f>
        <v>0:2</v>
      </c>
      <c r="H17" t="str">
        <f>'Ola L'!B7</f>
        <v>3:1</v>
      </c>
      <c r="I17" t="str">
        <f>'Ola L'!B8</f>
        <v>0:2</v>
      </c>
      <c r="J17" t="str">
        <f>'Ola L'!B9</f>
        <v>2:3</v>
      </c>
      <c r="K17" t="str">
        <f>'Ola L'!B10</f>
        <v>4:0</v>
      </c>
      <c r="L17" t="str">
        <f>'Ola L'!B11</f>
        <v>2:2</v>
      </c>
      <c r="M17" t="str">
        <f>'Ola L'!B12</f>
        <v>1:1</v>
      </c>
      <c r="N17" t="str">
        <f>'Ola L'!B13</f>
        <v>1:0</v>
      </c>
      <c r="O17" t="str">
        <f>'Ola L'!B14</f>
        <v>4:0</v>
      </c>
      <c r="P17" t="str">
        <f>'Ola L'!B15</f>
        <v>2:1</v>
      </c>
      <c r="Q17" t="str">
        <f>'Ola L'!B16</f>
        <v>0:2</v>
      </c>
      <c r="R17" t="str">
        <f>'Ola L'!B17</f>
        <v>1:0</v>
      </c>
      <c r="S17" t="str">
        <f>'Ola L'!B18</f>
        <v>2:2</v>
      </c>
      <c r="T17" t="str">
        <f>'Ola L'!B19</f>
        <v>1:2</v>
      </c>
      <c r="U17" t="str">
        <f>'Ola L'!B20</f>
        <v>2:0</v>
      </c>
      <c r="V17" t="str">
        <f>'Ola L'!B21</f>
        <v>2:2</v>
      </c>
      <c r="W17" t="str">
        <f>'Ola L'!B22</f>
        <v>3:0</v>
      </c>
      <c r="X17" t="str">
        <f>'Ola L'!B23</f>
        <v>2:1</v>
      </c>
      <c r="Y17" t="str">
        <f>'Ola L'!B24</f>
        <v>2:2</v>
      </c>
      <c r="Z17" t="str">
        <f>'Ola L'!B25</f>
        <v>1:3</v>
      </c>
      <c r="AA17" t="str">
        <f>'Ola L'!B26</f>
        <v>2:0</v>
      </c>
      <c r="AB17" t="str">
        <f>'Ola L'!B27</f>
        <v>3:1</v>
      </c>
      <c r="AC17" t="str">
        <f>'Ola L'!B28</f>
        <v>2:0</v>
      </c>
      <c r="AD17" t="str">
        <f>'Ola L'!B29</f>
        <v>1:1</v>
      </c>
      <c r="AE17" t="str">
        <f>'Ola L'!B30</f>
        <v>2:2</v>
      </c>
      <c r="AF17" t="str">
        <f>'Ola L'!B31</f>
        <v>3:1</v>
      </c>
      <c r="AG17" t="str">
        <f>'Ola L'!B32</f>
        <v>1:1</v>
      </c>
      <c r="AH17" t="str">
        <f>'Ola L'!B33</f>
        <v>2:2</v>
      </c>
      <c r="AI17" t="str">
        <f>'Ola L'!B34</f>
        <v>2:1</v>
      </c>
      <c r="AJ17" t="str">
        <f>'Ola L'!B35</f>
        <v>4:0</v>
      </c>
      <c r="AK17" t="str">
        <f>'Ola L'!B36</f>
        <v>4:1</v>
      </c>
      <c r="AL17" t="str">
        <f>'Ola L'!B37</f>
        <v>0:3</v>
      </c>
      <c r="AM17" t="str">
        <f>'Ola L'!B38</f>
        <v>4:2</v>
      </c>
      <c r="AN17" t="str">
        <f>'Ola L'!B39</f>
        <v>3:0</v>
      </c>
      <c r="AO17" t="str">
        <f>'Ola L'!B40</f>
        <v>2:1</v>
      </c>
      <c r="AP17" t="str">
        <f>'Ola L'!B41</f>
        <v>2:1</v>
      </c>
      <c r="AQ17" t="str">
        <f>'Ola L'!B42</f>
        <v>4:0</v>
      </c>
      <c r="AR17" t="str">
        <f>'Ola L'!B43</f>
        <v>3:0</v>
      </c>
      <c r="AS17" t="str">
        <f>'Ola L'!B44</f>
        <v>2:2</v>
      </c>
      <c r="AT17" t="str">
        <f>'Ola L'!B45</f>
        <v>0:2</v>
      </c>
      <c r="AU17" t="str">
        <f>'Ola L'!B46</f>
        <v>3:0</v>
      </c>
      <c r="AV17" t="str">
        <f>'Ola L'!B47</f>
        <v>3:1</v>
      </c>
      <c r="AW17" t="str">
        <f>'Ola L'!B48</f>
        <v>0:2</v>
      </c>
      <c r="AX17" t="str">
        <f>'Ola L'!B49</f>
        <v>1:1</v>
      </c>
      <c r="AY17" t="str">
        <f>'Ola L'!B50</f>
        <v>2:2</v>
      </c>
      <c r="AZ17" t="str">
        <f>'Ola L'!B51</f>
        <v>1:0</v>
      </c>
      <c r="BA17" t="str">
        <f>'Ola L'!B52</f>
        <v>1:3</v>
      </c>
      <c r="BB17" t="str">
        <f>'Ola L'!B53</f>
        <v>2:1</v>
      </c>
      <c r="BC17" t="str">
        <f>'Ola L'!B54</f>
        <v>1:2</v>
      </c>
      <c r="BD17" t="str">
        <f>'Ola L'!B55</f>
        <v>1:1</v>
      </c>
      <c r="BE17" t="str">
        <f>'Ola L'!B56</f>
        <v>2:1</v>
      </c>
      <c r="BF17" t="str">
        <f>'Ola L'!B57</f>
        <v>2:2</v>
      </c>
      <c r="BG17" t="str">
        <f>'Ola L'!B58</f>
        <v>2:1</v>
      </c>
      <c r="BH17" t="str">
        <f>'Ola L'!B59</f>
        <v>0:3</v>
      </c>
      <c r="BI17" t="str">
        <f>'Ola L'!B60</f>
        <v>1:3</v>
      </c>
      <c r="BJ17" t="str">
        <f>'Ola L'!B61</f>
        <v>2:0</v>
      </c>
      <c r="BK17" t="str">
        <f>'Ola L'!B62</f>
        <v>0:4</v>
      </c>
      <c r="BL17" t="str">
        <f>'Ola L'!B63</f>
        <v>2:2</v>
      </c>
      <c r="BM17" t="str">
        <f>'Ola L'!B64</f>
        <v>2:2</v>
      </c>
      <c r="BN17" t="str">
        <f>'Ola L'!B65</f>
        <v>3:1</v>
      </c>
      <c r="BO17" t="str">
        <f>'Ola L'!B66</f>
        <v>0:0</v>
      </c>
      <c r="BP17" t="str">
        <f>'Ola L'!B67</f>
        <v>1:3</v>
      </c>
      <c r="BQ17" t="str">
        <f>'Ola L'!B68</f>
        <v>0:3</v>
      </c>
      <c r="BR17" t="str">
        <f>'Ola L'!B69</f>
        <v>3:2</v>
      </c>
      <c r="BS17" t="str">
        <f>'Ola L'!B70</f>
        <v>1:1</v>
      </c>
      <c r="BT17" t="str">
        <f>'Ola L'!B71</f>
        <v>2:2</v>
      </c>
      <c r="BU17" t="str">
        <f>'Ola L'!B72</f>
        <v>1:1</v>
      </c>
      <c r="BV17" t="str">
        <f>'Ola L'!B73</f>
        <v>0:4</v>
      </c>
      <c r="BW17">
        <f>'Ola L'!D74</f>
        <v>1</v>
      </c>
    </row>
    <row r="18" spans="1:75">
      <c r="A18" s="29" t="s">
        <v>8</v>
      </c>
      <c r="B18" s="32">
        <f>BW18</f>
        <v>1</v>
      </c>
      <c r="C18" t="str">
        <f>'Ola R'!B2</f>
        <v>3:0</v>
      </c>
      <c r="D18" t="str">
        <f>'Ola R'!B3</f>
        <v>1:1</v>
      </c>
      <c r="E18" t="str">
        <f>'Ola R'!B4</f>
        <v>2:1</v>
      </c>
      <c r="F18" t="str">
        <f>'Ola R'!B5</f>
        <v>2:0</v>
      </c>
      <c r="G18" t="str">
        <f>'Ola R'!B6</f>
        <v>1:2</v>
      </c>
      <c r="H18" t="str">
        <f>'Ola R'!B7</f>
        <v>2:1</v>
      </c>
      <c r="I18" t="str">
        <f>'Ola R'!B8</f>
        <v>0:2</v>
      </c>
      <c r="J18" t="str">
        <f>'Ola R'!B9</f>
        <v>1:1</v>
      </c>
      <c r="K18" t="str">
        <f>'Ola R'!B10</f>
        <v>4:0</v>
      </c>
      <c r="L18" t="str">
        <f>'Ola R'!B11</f>
        <v>2:1</v>
      </c>
      <c r="M18" t="str">
        <f>'Ola R'!B12</f>
        <v>1:1</v>
      </c>
      <c r="N18" t="str">
        <f>'Ola R'!B13</f>
        <v>2:0</v>
      </c>
      <c r="O18" t="str">
        <f>'Ola R'!B14</f>
        <v>4:0</v>
      </c>
      <c r="P18" t="str">
        <f>'Ola R'!B15</f>
        <v>2:1</v>
      </c>
      <c r="Q18" t="str">
        <f>'Ola R'!B16</f>
        <v>0:2</v>
      </c>
      <c r="R18" t="str">
        <f>'Ola R'!B17</f>
        <v>1:0</v>
      </c>
      <c r="S18" t="str">
        <f>'Ola R'!B18</f>
        <v>2:1</v>
      </c>
      <c r="T18" t="str">
        <f>'Ola R'!B19</f>
        <v>0:2</v>
      </c>
      <c r="U18" t="str">
        <f>'Ola R'!B20</f>
        <v>3:1</v>
      </c>
      <c r="V18" t="str">
        <f>'Ola R'!B21</f>
        <v>2:0</v>
      </c>
      <c r="W18" t="str">
        <f>'Ola R'!B22</f>
        <v>3:0</v>
      </c>
      <c r="X18" t="str">
        <f>'Ola R'!B23</f>
        <v>3:1</v>
      </c>
      <c r="Y18" t="str">
        <f>'Ola R'!B24</f>
        <v>2:1</v>
      </c>
      <c r="Z18" t="str">
        <f>'Ola R'!B25</f>
        <v>1:2</v>
      </c>
      <c r="AA18" t="str">
        <f>'Ola R'!B26</f>
        <v>2:0</v>
      </c>
      <c r="AB18" t="str">
        <f>'Ola R'!B27</f>
        <v>2:1</v>
      </c>
      <c r="AC18" t="str">
        <f>'Ola R'!B28</f>
        <v>2:1</v>
      </c>
      <c r="AD18" t="str">
        <f>'Ola R'!B29</f>
        <v>2:0</v>
      </c>
      <c r="AE18" t="str">
        <f>'Ola R'!B30</f>
        <v>2:1</v>
      </c>
      <c r="AF18" t="str">
        <f>'Ola R'!B31</f>
        <v>1:1</v>
      </c>
      <c r="AG18" t="str">
        <f>'Ola R'!B32</f>
        <v>4:0</v>
      </c>
      <c r="AH18" t="str">
        <f>'Ola R'!B33</f>
        <v>1:1</v>
      </c>
      <c r="AI18" t="str">
        <f>'Ola R'!B34</f>
        <v>2:1</v>
      </c>
      <c r="AJ18" t="str">
        <f>'Ola R'!B35</f>
        <v>2:0</v>
      </c>
      <c r="AK18" t="str">
        <f>'Ola R'!B36</f>
        <v>3:0</v>
      </c>
      <c r="AL18" t="str">
        <f>'Ola R'!B37</f>
        <v>1:2</v>
      </c>
      <c r="AM18" t="str">
        <f>'Ola R'!B38</f>
        <v>3:0</v>
      </c>
      <c r="AN18" t="str">
        <f>'Ola R'!B39</f>
        <v>2:0</v>
      </c>
      <c r="AO18" t="str">
        <f>'Ola R'!B40</f>
        <v>2:0</v>
      </c>
      <c r="AP18" t="str">
        <f>'Ola R'!B41</f>
        <v>1:1</v>
      </c>
      <c r="AQ18" t="str">
        <f>'Ola R'!B42</f>
        <v>2:1</v>
      </c>
      <c r="AR18" t="str">
        <f>'Ola R'!B43</f>
        <v>3:0</v>
      </c>
      <c r="AS18" t="str">
        <f>'Ola R'!B44</f>
        <v>1:1</v>
      </c>
      <c r="AT18" t="str">
        <f>'Ola R'!B45</f>
        <v>0:2</v>
      </c>
      <c r="AU18" t="str">
        <f>'Ola R'!B46</f>
        <v>2:0</v>
      </c>
      <c r="AV18" t="str">
        <f>'Ola R'!B47</f>
        <v>2:1</v>
      </c>
      <c r="AW18" t="str">
        <f>'Ola R'!B48</f>
        <v>0:2</v>
      </c>
      <c r="AX18" t="str">
        <f>'Ola R'!B49</f>
        <v>3:0</v>
      </c>
      <c r="AY18" t="str">
        <f>'Ola R'!B50</f>
        <v>1:1</v>
      </c>
      <c r="AZ18" t="str">
        <f>'Ola R'!B51</f>
        <v>2:1</v>
      </c>
      <c r="BA18" t="str">
        <f>'Ola R'!B52</f>
        <v>0:2</v>
      </c>
      <c r="BB18" t="str">
        <f>'Ola R'!B53</f>
        <v>3:0</v>
      </c>
      <c r="BC18" t="str">
        <f>'Ola R'!B54</f>
        <v>1:2</v>
      </c>
      <c r="BD18" t="str">
        <f>'Ola R'!B55</f>
        <v>1:2</v>
      </c>
      <c r="BE18" t="str">
        <f>'Ola R'!B56</f>
        <v>0:2</v>
      </c>
      <c r="BF18" t="str">
        <f>'Ola R'!B57</f>
        <v>1:2</v>
      </c>
      <c r="BG18" t="str">
        <f>'Ola R'!B58</f>
        <v>1:1</v>
      </c>
      <c r="BH18" t="str">
        <f>'Ola R'!B59</f>
        <v>0:2</v>
      </c>
      <c r="BI18" t="str">
        <f>'Ola R'!B60</f>
        <v>1:2</v>
      </c>
      <c r="BJ18" t="str">
        <f>'Ola R'!B61</f>
        <v>1:1</v>
      </c>
      <c r="BK18" t="str">
        <f>'Ola R'!B62</f>
        <v>1:2</v>
      </c>
      <c r="BL18" t="str">
        <f>'Ola R'!B63</f>
        <v>2:0</v>
      </c>
      <c r="BM18" t="str">
        <f>'Ola R'!B64</f>
        <v>1:1</v>
      </c>
      <c r="BN18" t="str">
        <f>'Ola R'!B65</f>
        <v>0:3</v>
      </c>
      <c r="BO18" t="str">
        <f>'Ola R'!B66</f>
        <v>1:1</v>
      </c>
      <c r="BP18" t="str">
        <f>'Ola R'!B67</f>
        <v>0:2</v>
      </c>
      <c r="BQ18" t="str">
        <f>'Ola R'!B68</f>
        <v>0:3</v>
      </c>
      <c r="BR18" t="str">
        <f>'Ola R'!B69</f>
        <v>2:1</v>
      </c>
      <c r="BS18" t="str">
        <f>'Ola R'!B70</f>
        <v>1:2</v>
      </c>
      <c r="BT18" t="str">
        <f>'Ola R'!B71</f>
        <v>1:1</v>
      </c>
      <c r="BU18" t="str">
        <f>'Ola R'!B72</f>
        <v>1:2</v>
      </c>
      <c r="BV18" t="str">
        <f>'Ola R'!B73</f>
        <v>0:3</v>
      </c>
      <c r="BW18">
        <f>'Ola R'!D74</f>
        <v>1</v>
      </c>
    </row>
    <row r="19" spans="1:75">
      <c r="A19" s="29" t="s">
        <v>9</v>
      </c>
      <c r="B19" s="32">
        <f>BW19</f>
        <v>1</v>
      </c>
      <c r="C19" t="str">
        <f>Anita!B2</f>
        <v>2:1</v>
      </c>
      <c r="D19" t="str">
        <f>Anita!B3</f>
        <v>1:1</v>
      </c>
      <c r="E19" t="str">
        <f>Anita!B4</f>
        <v>1:0</v>
      </c>
      <c r="F19" t="str">
        <f>Anita!B5</f>
        <v>2:1</v>
      </c>
      <c r="G19" t="str">
        <f>Anita!B6</f>
        <v>0:2</v>
      </c>
      <c r="H19" t="str">
        <f>Anita!B7</f>
        <v>2:1</v>
      </c>
      <c r="I19" t="str">
        <f>Anita!B8</f>
        <v>0:2</v>
      </c>
      <c r="J19" t="str">
        <f>Anita!B9</f>
        <v>0:1</v>
      </c>
      <c r="K19" t="str">
        <f>Anita!B10</f>
        <v>3:0</v>
      </c>
      <c r="L19" t="str">
        <f>Anita!B11</f>
        <v>2:1</v>
      </c>
      <c r="M19" t="str">
        <f>Anita!B12</f>
        <v>1:1</v>
      </c>
      <c r="N19" t="str">
        <f>Anita!B13</f>
        <v>1:0</v>
      </c>
      <c r="O19" t="str">
        <f>Anita!B14</f>
        <v>3:0</v>
      </c>
      <c r="P19" t="str">
        <f>Anita!B15</f>
        <v>2:0</v>
      </c>
      <c r="Q19" t="str">
        <f>Anita!B16</f>
        <v>0:2</v>
      </c>
      <c r="R19" t="str">
        <f>Anita!B17</f>
        <v>0:1</v>
      </c>
      <c r="S19" t="str">
        <f>Anita!B18</f>
        <v>2:0</v>
      </c>
      <c r="T19" t="str">
        <f>Anita!B19</f>
        <v>0:2</v>
      </c>
      <c r="U19" t="str">
        <f>Anita!B20</f>
        <v>2:0</v>
      </c>
      <c r="V19" t="str">
        <f>Anita!B21</f>
        <v>2:0</v>
      </c>
      <c r="W19" t="str">
        <f>Anita!B22</f>
        <v>3:0</v>
      </c>
      <c r="X19" t="str">
        <f>Anita!B23</f>
        <v>1:1</v>
      </c>
      <c r="Y19" t="str">
        <f>Anita!B24</f>
        <v>2:1</v>
      </c>
      <c r="Z19" t="str">
        <f>Anita!B25</f>
        <v>0:2</v>
      </c>
      <c r="AA19" t="str">
        <f>Anita!B26</f>
        <v>2:1</v>
      </c>
      <c r="AB19" t="str">
        <f>Anita!B27</f>
        <v>2:0</v>
      </c>
      <c r="AC19" t="str">
        <f>Anita!B28</f>
        <v>2:0</v>
      </c>
      <c r="AD19" t="str">
        <f>Anita!B29</f>
        <v>1:1</v>
      </c>
      <c r="AE19" t="str">
        <f>Anita!B30</f>
        <v>2:1</v>
      </c>
      <c r="AF19" t="str">
        <f>Anita!B31</f>
        <v>1:1</v>
      </c>
      <c r="AG19" t="str">
        <f>Anita!B32</f>
        <v>4:0</v>
      </c>
      <c r="AH19" t="str">
        <f>Anita!B33</f>
        <v>2:1</v>
      </c>
      <c r="AI19" t="str">
        <f>Anita!B34</f>
        <v>2:1</v>
      </c>
      <c r="AJ19" t="str">
        <f>Anita!B35</f>
        <v>2:0</v>
      </c>
      <c r="AK19" t="str">
        <f>Anita!B36</f>
        <v>2:0</v>
      </c>
      <c r="AL19" t="str">
        <f>Anita!B37</f>
        <v>1:1</v>
      </c>
      <c r="AM19" t="str">
        <f>Anita!B38</f>
        <v>3:0</v>
      </c>
      <c r="AN19" t="str">
        <f>Anita!B39</f>
        <v>2:0</v>
      </c>
      <c r="AO19" t="str">
        <f>Anita!B40</f>
        <v>2:0</v>
      </c>
      <c r="AP19" t="str">
        <f>Anita!B41</f>
        <v>0:1</v>
      </c>
      <c r="AQ19" t="str">
        <f>Anita!B42</f>
        <v>2:0</v>
      </c>
      <c r="AR19" t="str">
        <f>Anita!B43</f>
        <v>3:0</v>
      </c>
      <c r="AS19" t="str">
        <f>Anita!B44</f>
        <v>1:1</v>
      </c>
      <c r="AT19" t="str">
        <f>Anita!B45</f>
        <v>0:2</v>
      </c>
      <c r="AU19" t="str">
        <f>Anita!B46</f>
        <v>3:0</v>
      </c>
      <c r="AV19" t="str">
        <f>Anita!B47</f>
        <v>2:0</v>
      </c>
      <c r="AW19" t="str">
        <f>Anita!B48</f>
        <v>0:2</v>
      </c>
      <c r="AX19" t="str">
        <f>Anita!B49</f>
        <v>2:0</v>
      </c>
      <c r="AY19" t="str">
        <f>Anita!B50</f>
        <v>1:1</v>
      </c>
      <c r="AZ19" t="str">
        <f>Anita!B51</f>
        <v>1:0</v>
      </c>
      <c r="BA19" t="str">
        <f>Anita!B52</f>
        <v>0:2</v>
      </c>
      <c r="BB19" t="str">
        <f>Anita!B53</f>
        <v>3:0</v>
      </c>
      <c r="BC19" t="str">
        <f>Anita!B54</f>
        <v>1:2</v>
      </c>
      <c r="BD19" t="str">
        <f>Anita!B55</f>
        <v>1:2</v>
      </c>
      <c r="BE19" t="str">
        <f>Anita!B56</f>
        <v>0:2</v>
      </c>
      <c r="BF19" t="str">
        <f>Anita!B57</f>
        <v>1:2</v>
      </c>
      <c r="BG19" t="str">
        <f>Anita!B58</f>
        <v>1:1</v>
      </c>
      <c r="BH19" t="str">
        <f>Anita!B59</f>
        <v>0:2</v>
      </c>
      <c r="BI19" t="str">
        <f>Anita!B60</f>
        <v>1:1</v>
      </c>
      <c r="BJ19" t="str">
        <f>Anita!B61</f>
        <v>1:0</v>
      </c>
      <c r="BK19" t="str">
        <f>Anita!B62</f>
        <v>1:2</v>
      </c>
      <c r="BL19" t="str">
        <f>Anita!B63</f>
        <v>2:0</v>
      </c>
      <c r="BM19" t="str">
        <f>Anita!B64</f>
        <v>1:1</v>
      </c>
      <c r="BN19" t="str">
        <f>Anita!B65</f>
        <v>1:2</v>
      </c>
      <c r="BO19" t="str">
        <f>Anita!B66</f>
        <v>1:1</v>
      </c>
      <c r="BP19" t="str">
        <f>Anita!B67</f>
        <v>0:3</v>
      </c>
      <c r="BQ19" t="str">
        <f>Anita!B68</f>
        <v>2:0</v>
      </c>
      <c r="BR19" t="str">
        <f>Anita!B69</f>
        <v>2:1</v>
      </c>
      <c r="BS19" t="str">
        <f>Anita!B70</f>
        <v>1:2</v>
      </c>
      <c r="BT19" t="str">
        <f>Anita!B71</f>
        <v>1:1</v>
      </c>
      <c r="BU19" t="str">
        <f>Anita!B72</f>
        <v>1:1</v>
      </c>
      <c r="BV19" t="str">
        <f>Anita!B73</f>
        <v>0:3</v>
      </c>
      <c r="BW19">
        <f>Anita!D74</f>
        <v>1</v>
      </c>
    </row>
    <row r="20" spans="1:75">
      <c r="A20" s="29" t="s">
        <v>10</v>
      </c>
      <c r="B20" s="32">
        <f>BW20</f>
        <v>1</v>
      </c>
      <c r="C20" t="str">
        <f>Agata!B2</f>
        <v>2-1</v>
      </c>
      <c r="D20" t="str">
        <f>Agata!B3</f>
        <v>0-1</v>
      </c>
      <c r="E20" t="str">
        <f>Agata!B4</f>
        <v>0-0</v>
      </c>
      <c r="F20" t="str">
        <f>Agata!B5</f>
        <v>0-1</v>
      </c>
      <c r="G20" t="str">
        <f>Agata!B6</f>
        <v>0-3</v>
      </c>
      <c r="H20" t="str">
        <f>Agata!B7</f>
        <v>4-1</v>
      </c>
      <c r="I20" t="str">
        <f>Agata!B8</f>
        <v>0-3</v>
      </c>
      <c r="J20" t="str">
        <f>Agata!B9</f>
        <v>1-1</v>
      </c>
      <c r="K20" t="str">
        <f>Agata!B10</f>
        <v>6-0</v>
      </c>
      <c r="L20" t="str">
        <f>Agata!B11</f>
        <v>2-1</v>
      </c>
      <c r="M20" t="str">
        <f>Agata!B12</f>
        <v>0-0</v>
      </c>
      <c r="N20" t="str">
        <f>Agata!B13</f>
        <v>3-0</v>
      </c>
      <c r="O20" t="str">
        <f>Agata!B14</f>
        <v>5-0</v>
      </c>
      <c r="P20" t="str">
        <f>Agata!B15</f>
        <v>2-0</v>
      </c>
      <c r="Q20" t="str">
        <f>Agata!B16</f>
        <v>0-2</v>
      </c>
      <c r="R20" t="str">
        <f>Agata!B17</f>
        <v>1-2</v>
      </c>
      <c r="S20" t="str">
        <f>Agata!B18</f>
        <v>4-1</v>
      </c>
      <c r="T20" t="str">
        <f>Agata!B19</f>
        <v>0-1</v>
      </c>
      <c r="U20" t="str">
        <f>Agata!B20</f>
        <v>5-1</v>
      </c>
      <c r="V20" t="str">
        <f>Agata!B21</f>
        <v>3-0</v>
      </c>
      <c r="W20" t="str">
        <f>Agata!B22</f>
        <v>1-0</v>
      </c>
      <c r="X20" t="str">
        <f>Agata!B23</f>
        <v>1-1</v>
      </c>
      <c r="Y20" t="str">
        <f>Agata!B24</f>
        <v>1-1</v>
      </c>
      <c r="Z20" t="str">
        <f>Agata!B25</f>
        <v>0-3</v>
      </c>
      <c r="AA20" t="str">
        <f>Agata!B26</f>
        <v>1-2</v>
      </c>
      <c r="AB20" t="str">
        <f>Agata!B27</f>
        <v>2-1</v>
      </c>
      <c r="AC20" t="str">
        <f>Agata!B28</f>
        <v>1-0</v>
      </c>
      <c r="AD20" t="str">
        <f>Agata!B29</f>
        <v>3-1</v>
      </c>
      <c r="AE20" t="str">
        <f>Agata!B30</f>
        <v>0-1</v>
      </c>
      <c r="AF20" t="str">
        <f>Agata!B31</f>
        <v>1-0</v>
      </c>
      <c r="AG20" t="str">
        <f>Agata!B32</f>
        <v>5-0</v>
      </c>
      <c r="AH20" t="str">
        <f>Agata!B33</f>
        <v>1-2</v>
      </c>
      <c r="AI20" t="str">
        <f>Agata!B34</f>
        <v>1-2</v>
      </c>
      <c r="AJ20" t="str">
        <f>Agata!B35</f>
        <v>4-1</v>
      </c>
      <c r="AK20" t="str">
        <f>Agata!B36</f>
        <v>3-0</v>
      </c>
      <c r="AL20" t="str">
        <f>Agata!B37</f>
        <v>1-1</v>
      </c>
      <c r="AM20" t="str">
        <f>Agata!B38</f>
        <v>3-0</v>
      </c>
      <c r="AN20" t="str">
        <f>Agata!B39</f>
        <v>2-0</v>
      </c>
      <c r="AO20" t="str">
        <f>Agata!B40</f>
        <v>3-1</v>
      </c>
      <c r="AP20" t="str">
        <f>Agata!B41</f>
        <v>1-1</v>
      </c>
      <c r="AQ20" t="str">
        <f>Agata!B42</f>
        <v>2-0</v>
      </c>
      <c r="AR20" t="str">
        <f>Agata!B43</f>
        <v>3-0</v>
      </c>
      <c r="AS20" t="str">
        <f>Agata!B44</f>
        <v>1-0</v>
      </c>
      <c r="AT20" t="str">
        <f>Agata!B45</f>
        <v>0-1</v>
      </c>
      <c r="AU20" t="str">
        <f>Agata!B46</f>
        <v>3-0</v>
      </c>
      <c r="AV20" t="str">
        <f>Agata!B47</f>
        <v>5-1</v>
      </c>
      <c r="AW20" t="str">
        <f>Agata!B48</f>
        <v>1-3</v>
      </c>
      <c r="AX20" t="str">
        <f>Agata!B49</f>
        <v>3-1</v>
      </c>
      <c r="AY20" t="str">
        <f>Agata!B50</f>
        <v>1-0</v>
      </c>
      <c r="AZ20" t="str">
        <f>Agata!B51</f>
        <v>1-0</v>
      </c>
      <c r="BA20" t="str">
        <f>Agata!B52</f>
        <v>1-2</v>
      </c>
      <c r="BB20" t="str">
        <f>Agata!B53</f>
        <v>0-1</v>
      </c>
      <c r="BC20" t="str">
        <f>Agata!B54</f>
        <v>1-2</v>
      </c>
      <c r="BD20" t="str">
        <f>Agata!B55</f>
        <v>2-0</v>
      </c>
      <c r="BE20" t="str">
        <f>Agata!B56</f>
        <v>1-1</v>
      </c>
      <c r="BF20" t="str">
        <f>Agata!B57</f>
        <v>1-3</v>
      </c>
      <c r="BG20" t="str">
        <f>Agata!B58</f>
        <v>1-2</v>
      </c>
      <c r="BH20" t="str">
        <f>Agata!B59</f>
        <v>1-3</v>
      </c>
      <c r="BI20" t="str">
        <f>Agata!B60</f>
        <v>0-0</v>
      </c>
      <c r="BJ20" t="str">
        <f>Agata!B61</f>
        <v>1-2</v>
      </c>
      <c r="BK20" t="str">
        <f>Agata!B62</f>
        <v>0-1</v>
      </c>
      <c r="BL20" t="str">
        <f>Agata!B63</f>
        <v>1-0</v>
      </c>
      <c r="BM20" t="str">
        <f>Agata!B64</f>
        <v>1-1</v>
      </c>
      <c r="BN20" t="str">
        <f>Agata!B65</f>
        <v>1-2</v>
      </c>
      <c r="BO20" t="str">
        <f>Agata!B66</f>
        <v>1-0</v>
      </c>
      <c r="BP20" t="str">
        <f>Agata!B67</f>
        <v>0-1</v>
      </c>
      <c r="BQ20" t="str">
        <f>Agata!B68</f>
        <v>1-3</v>
      </c>
      <c r="BR20" t="str">
        <f>Agata!B69</f>
        <v>3-0</v>
      </c>
      <c r="BS20" t="str">
        <f>Agata!B70</f>
        <v>1-2</v>
      </c>
      <c r="BT20" t="str">
        <f>Agata!B71</f>
        <v>1-0</v>
      </c>
      <c r="BU20" t="str">
        <f>Agata!B72</f>
        <v>1-2</v>
      </c>
      <c r="BV20" t="str">
        <f>Agata!B73</f>
        <v>0-4</v>
      </c>
      <c r="BW20">
        <f>Agata!D74</f>
        <v>1</v>
      </c>
    </row>
    <row r="21" spans="1:75">
      <c r="A21" s="29" t="s">
        <v>11</v>
      </c>
      <c r="B21" s="32">
        <f>BW21</f>
        <v>1</v>
      </c>
      <c r="C21" t="str">
        <f>Bartosz!B2</f>
        <v>3:1</v>
      </c>
      <c r="D21" t="str">
        <f>Bartosz!B3</f>
        <v>1:3</v>
      </c>
      <c r="E21" t="str">
        <f>Bartosz!B4</f>
        <v>2:1</v>
      </c>
      <c r="F21" t="str">
        <f>Bartosz!B5</f>
        <v>0:2</v>
      </c>
      <c r="G21" t="str">
        <f>Bartosz!B6</f>
        <v>0:3</v>
      </c>
      <c r="H21" t="str">
        <f>Bartosz!B7</f>
        <v>5:0</v>
      </c>
      <c r="I21" t="str">
        <f>Bartosz!B8</f>
        <v>0:3</v>
      </c>
      <c r="J21" t="str">
        <f>Bartosz!B9</f>
        <v>0:2</v>
      </c>
      <c r="K21" t="str">
        <f>Bartosz!B10</f>
        <v>5:0</v>
      </c>
      <c r="L21" t="str">
        <f>Bartosz!B11</f>
        <v>2:0</v>
      </c>
      <c r="M21" t="str">
        <f>Bartosz!B12</f>
        <v>0:3</v>
      </c>
      <c r="N21" t="str">
        <f>Bartosz!B13</f>
        <v>3:0</v>
      </c>
      <c r="O21" t="str">
        <f>Bartosz!B14</f>
        <v>4:0</v>
      </c>
      <c r="P21" t="str">
        <f>Bartosz!B15</f>
        <v>3:0</v>
      </c>
      <c r="Q21" t="str">
        <f>Bartosz!B16</f>
        <v>0:3</v>
      </c>
      <c r="R21" t="str">
        <f>Bartosz!B17</f>
        <v>0:1</v>
      </c>
      <c r="S21" t="str">
        <f>Bartosz!B18</f>
        <v>2:1</v>
      </c>
      <c r="T21" t="str">
        <f>Bartosz!B19</f>
        <v>0:3</v>
      </c>
      <c r="U21" t="str">
        <f>Bartosz!B20</f>
        <v>3:0</v>
      </c>
      <c r="V21" t="str">
        <f>Bartosz!B21</f>
        <v>2:0</v>
      </c>
      <c r="W21" t="str">
        <f>Bartosz!B22</f>
        <v>4:0</v>
      </c>
      <c r="X21" t="str">
        <f>Bartosz!B23</f>
        <v>1:1</v>
      </c>
      <c r="Y21" t="str">
        <f>Bartosz!B24</f>
        <v>0:2</v>
      </c>
      <c r="Z21" t="str">
        <f>Bartosz!B25</f>
        <v>0:3</v>
      </c>
      <c r="AA21" t="str">
        <f>Bartosz!B26</f>
        <v>2:0</v>
      </c>
      <c r="AB21" t="str">
        <f>Bartosz!B27</f>
        <v>1:0</v>
      </c>
      <c r="AC21" t="str">
        <f>Bartosz!B28</f>
        <v>1:0</v>
      </c>
      <c r="AD21" t="str">
        <f>Bartosz!B29</f>
        <v>2:1</v>
      </c>
      <c r="AE21" t="str">
        <f>Bartosz!B30</f>
        <v>0:1</v>
      </c>
      <c r="AF21" t="str">
        <f>Bartosz!B31</f>
        <v>2:0</v>
      </c>
      <c r="AG21" t="str">
        <f>Bartosz!B32</f>
        <v>5:0</v>
      </c>
      <c r="AH21" t="str">
        <f>Bartosz!B33</f>
        <v>2:1</v>
      </c>
      <c r="AI21" t="str">
        <f>Bartosz!B34</f>
        <v>2:1</v>
      </c>
      <c r="AJ21" t="str">
        <f>Bartosz!B35</f>
        <v>4:0</v>
      </c>
      <c r="AK21" t="str">
        <f>Bartosz!B36</f>
        <v>3:0</v>
      </c>
      <c r="AL21" t="str">
        <f>Bartosz!B37</f>
        <v>0:2</v>
      </c>
      <c r="AM21" t="str">
        <f>Bartosz!B38</f>
        <v>3:0</v>
      </c>
      <c r="AN21" t="str">
        <f>Bartosz!B39</f>
        <v>2:0</v>
      </c>
      <c r="AO21" t="str">
        <f>Bartosz!B40</f>
        <v>2:0</v>
      </c>
      <c r="AP21" t="str">
        <f>Bartosz!B41</f>
        <v>2:0</v>
      </c>
      <c r="AQ21" t="str">
        <f>Bartosz!B42</f>
        <v>2:1</v>
      </c>
      <c r="AR21" t="str">
        <f>Bartosz!B43</f>
        <v>3:0</v>
      </c>
      <c r="AS21" t="str">
        <f>Bartosz!B44</f>
        <v>3:1</v>
      </c>
      <c r="AT21" t="str">
        <f>Bartosz!B45</f>
        <v>0:1</v>
      </c>
      <c r="AU21" t="str">
        <f>Bartosz!B46</f>
        <v>3:0</v>
      </c>
      <c r="AV21" t="str">
        <f>Bartosz!B47</f>
        <v>4:0</v>
      </c>
      <c r="AW21" t="str">
        <f>Bartosz!B48</f>
        <v>1:3</v>
      </c>
      <c r="AX21" t="str">
        <f>Bartosz!B49</f>
        <v>2:0</v>
      </c>
      <c r="AY21" t="str">
        <f>Bartosz!B50</f>
        <v>1:1</v>
      </c>
      <c r="AZ21" t="str">
        <f>Bartosz!B51</f>
        <v>1:0</v>
      </c>
      <c r="BA21" t="str">
        <f>Bartosz!B52</f>
        <v>0:2</v>
      </c>
      <c r="BB21" t="str">
        <f>Bartosz!B53</f>
        <v>1:0</v>
      </c>
      <c r="BC21" t="str">
        <f>Bartosz!B54</f>
        <v>1:2</v>
      </c>
      <c r="BD21" t="str">
        <f>Bartosz!B55</f>
        <v>0:2</v>
      </c>
      <c r="BE21" t="str">
        <f>Bartosz!B56</f>
        <v>0:1</v>
      </c>
      <c r="BF21" t="str">
        <f>Bartosz!B57</f>
        <v>1:2</v>
      </c>
      <c r="BG21" t="str">
        <f>Bartosz!B58</f>
        <v>0:1</v>
      </c>
      <c r="BH21" t="str">
        <f>Bartosz!B59</f>
        <v>0:2</v>
      </c>
      <c r="BI21" t="str">
        <f>Bartosz!B60</f>
        <v>2:0</v>
      </c>
      <c r="BJ21" t="str">
        <f>Bartosz!B61</f>
        <v>1:0</v>
      </c>
      <c r="BK21" t="str">
        <f>Bartosz!B62</f>
        <v>1:2</v>
      </c>
      <c r="BL21" t="str">
        <f>Bartosz!B63</f>
        <v>2:0</v>
      </c>
      <c r="BM21" t="str">
        <f>Bartosz!B64</f>
        <v>0:1</v>
      </c>
      <c r="BN21" t="str">
        <f>Bartosz!B65</f>
        <v>1:2</v>
      </c>
      <c r="BO21" t="str">
        <f>Bartosz!B66</f>
        <v>1:0</v>
      </c>
      <c r="BP21" t="str">
        <f>Bartosz!B67</f>
        <v>0:1</v>
      </c>
      <c r="BQ21" t="str">
        <f>Bartosz!B68</f>
        <v>1:3</v>
      </c>
      <c r="BR21" t="str">
        <f>Bartosz!B69</f>
        <v>2:0</v>
      </c>
      <c r="BS21" t="str">
        <f>Bartosz!B70</f>
        <v>2:3</v>
      </c>
      <c r="BT21" t="str">
        <f>Bartosz!B71</f>
        <v>0:2</v>
      </c>
      <c r="BU21" t="str">
        <f>Bartosz!B72</f>
        <v>0:2</v>
      </c>
      <c r="BV21" t="str">
        <f>Bartosz!B73</f>
        <v>0:3</v>
      </c>
      <c r="BW21">
        <f>Bartosz!D74</f>
        <v>1</v>
      </c>
    </row>
    <row r="22" spans="1:75">
      <c r="A22" s="29" t="s">
        <v>14</v>
      </c>
      <c r="B22" s="32">
        <f>BW22</f>
        <v>1</v>
      </c>
      <c r="C22" t="str">
        <f>'Ela S'!B2</f>
        <v>2-1</v>
      </c>
      <c r="D22" t="str">
        <f>'Ela S'!B3</f>
        <v>1-1</v>
      </c>
      <c r="E22" t="str">
        <f>'Ela S'!B4</f>
        <v>1-0</v>
      </c>
      <c r="F22" t="str">
        <f>'Ela S'!B5</f>
        <v>2-1</v>
      </c>
      <c r="G22" t="str">
        <f>'Ela S'!B6</f>
        <v>0-2</v>
      </c>
      <c r="H22" t="str">
        <f>'Ela S'!B7</f>
        <v>2-1</v>
      </c>
      <c r="I22" t="str">
        <f>'Ela S'!B8</f>
        <v>0-2</v>
      </c>
      <c r="J22" t="str">
        <f>'Ela S'!B9</f>
        <v>1-2</v>
      </c>
      <c r="K22" t="str">
        <f>'Ela S'!B10</f>
        <v>5-0</v>
      </c>
      <c r="L22" t="str">
        <f>'Ela S'!B11</f>
        <v>2-1</v>
      </c>
      <c r="M22" t="str">
        <f>'Ela S'!B12</f>
        <v>1-1</v>
      </c>
      <c r="N22" t="str">
        <f>'Ela S'!B13</f>
        <v>2-0</v>
      </c>
      <c r="O22" t="str">
        <f>'Ela S'!B14</f>
        <v>3-0</v>
      </c>
      <c r="P22" t="str">
        <f>'Ela S'!B15</f>
        <v>2-1</v>
      </c>
      <c r="Q22" t="str">
        <f>'Ela S'!B16</f>
        <v>0-2</v>
      </c>
      <c r="R22" t="str">
        <f>'Ela S'!B17</f>
        <v>1-0</v>
      </c>
      <c r="S22" t="str">
        <f>'Ela S'!B18</f>
        <v>3-1</v>
      </c>
      <c r="T22" t="str">
        <f>'Ela S'!B19</f>
        <v>0-3</v>
      </c>
      <c r="U22" t="str">
        <f>'Ela S'!B20</f>
        <v>2-0</v>
      </c>
      <c r="V22" t="str">
        <f>'Ela S'!B21</f>
        <v>2-0</v>
      </c>
      <c r="W22" t="str">
        <f>'Ela S'!B22</f>
        <v>4-1</v>
      </c>
      <c r="X22" t="str">
        <f>'Ela S'!B23</f>
        <v>2-1</v>
      </c>
      <c r="Y22" t="str">
        <f>'Ela S'!B24</f>
        <v>1-1</v>
      </c>
      <c r="Z22" t="str">
        <f>'Ela S'!B25</f>
        <v>0-2</v>
      </c>
      <c r="AA22" t="str">
        <f>'Ela S'!B26</f>
        <v>2-1</v>
      </c>
      <c r="AB22" t="str">
        <f>'Ela S'!B27</f>
        <v>2-1</v>
      </c>
      <c r="AC22" t="str">
        <f>'Ela S'!B28</f>
        <v>3-0</v>
      </c>
      <c r="AD22" t="str">
        <f>'Ela S'!B29</f>
        <v>1-0</v>
      </c>
      <c r="AE22" t="str">
        <f>'Ela S'!B30</f>
        <v>2-1</v>
      </c>
      <c r="AF22" t="str">
        <f>'Ela S'!B31</f>
        <v>1-2</v>
      </c>
      <c r="AG22" t="str">
        <f>'Ela S'!B32</f>
        <v>3-0</v>
      </c>
      <c r="AH22" t="str">
        <f>'Ela S'!B33</f>
        <v>2-1</v>
      </c>
      <c r="AI22" t="str">
        <f>'Ela S'!B34</f>
        <v>2-1</v>
      </c>
      <c r="AJ22" t="str">
        <f>'Ela S'!B35</f>
        <v>3-0</v>
      </c>
      <c r="AK22" t="str">
        <f>'Ela S'!B36</f>
        <v>2-0</v>
      </c>
      <c r="AL22" t="str">
        <f>'Ela S'!B37</f>
        <v>0-1</v>
      </c>
      <c r="AM22" t="str">
        <f>'Ela S'!B38</f>
        <v>3-0</v>
      </c>
      <c r="AN22" t="str">
        <f>'Ela S'!B39</f>
        <v>2-0</v>
      </c>
      <c r="AO22" t="str">
        <f>'Ela S'!B40</f>
        <v>3-0</v>
      </c>
      <c r="AP22" t="str">
        <f>'Ela S'!B41</f>
        <v>0-1</v>
      </c>
      <c r="AQ22" t="str">
        <f>'Ela S'!B42</f>
        <v>2-0</v>
      </c>
      <c r="AR22" t="str">
        <f>'Ela S'!B43</f>
        <v>3-0</v>
      </c>
      <c r="AS22" t="str">
        <f>'Ela S'!B44</f>
        <v>1-1</v>
      </c>
      <c r="AT22" t="str">
        <f>'Ela S'!B45</f>
        <v>0-2</v>
      </c>
      <c r="AU22" t="str">
        <f>'Ela S'!B46</f>
        <v>3-0</v>
      </c>
      <c r="AV22" t="str">
        <f>'Ela S'!B47</f>
        <v>3-0</v>
      </c>
      <c r="AW22" t="str">
        <f>'Ela S'!B48</f>
        <v>0-3</v>
      </c>
      <c r="AX22" t="str">
        <f>'Ela S'!B49</f>
        <v>1-1</v>
      </c>
      <c r="AY22" t="str">
        <f>'Ela S'!B50</f>
        <v>1-0</v>
      </c>
      <c r="AZ22" t="str">
        <f>'Ela S'!B51</f>
        <v>2-1</v>
      </c>
      <c r="BA22" t="str">
        <f>'Ela S'!B52</f>
        <v>0-3</v>
      </c>
      <c r="BB22" t="str">
        <f>'Ela S'!B53</f>
        <v>2-0</v>
      </c>
      <c r="BC22" t="str">
        <f>'Ela S'!B54</f>
        <v>1-1</v>
      </c>
      <c r="BD22" t="str">
        <f>'Ela S'!B55</f>
        <v>0-1</v>
      </c>
      <c r="BE22" t="str">
        <f>'Ela S'!B56</f>
        <v>0-2</v>
      </c>
      <c r="BF22" t="str">
        <f>'Ela S'!B57</f>
        <v>2-1</v>
      </c>
      <c r="BG22" t="str">
        <f>'Ela S'!B58</f>
        <v>1-1</v>
      </c>
      <c r="BH22" t="str">
        <f>'Ela S'!B59</f>
        <v>2-0</v>
      </c>
      <c r="BI22" t="str">
        <f>'Ela S'!B60</f>
        <v>2-1</v>
      </c>
      <c r="BJ22" t="str">
        <f>'Ela S'!B61</f>
        <v>1-1</v>
      </c>
      <c r="BK22" t="str">
        <f>'Ela S'!B62</f>
        <v>0-2</v>
      </c>
      <c r="BL22" t="str">
        <f>'Ela S'!B63</f>
        <v>2-0</v>
      </c>
      <c r="BM22" t="str">
        <f>'Ela S'!B64</f>
        <v>1-1</v>
      </c>
      <c r="BN22" t="str">
        <f>'Ela S'!B65</f>
        <v>1-2</v>
      </c>
      <c r="BO22" t="str">
        <f>'Ela S'!B66</f>
        <v>1-1</v>
      </c>
      <c r="BP22" t="str">
        <f>'Ela S'!B67</f>
        <v>0-3</v>
      </c>
      <c r="BQ22" t="str">
        <f>'Ela S'!B68</f>
        <v>0-3</v>
      </c>
      <c r="BR22" t="str">
        <f>'Ela S'!B69</f>
        <v>2-1</v>
      </c>
      <c r="BS22" t="str">
        <f>'Ela S'!B70</f>
        <v>1-2</v>
      </c>
      <c r="BT22" t="str">
        <f>'Ela S'!B71</f>
        <v>1-1</v>
      </c>
      <c r="BU22" t="str">
        <f>'Ela S'!B72</f>
        <v>2-1</v>
      </c>
      <c r="BV22" t="str">
        <f>'Ela S'!B73</f>
        <v>0-2</v>
      </c>
      <c r="BW22">
        <f>'Ela S'!D74</f>
        <v>1</v>
      </c>
    </row>
    <row r="23" spans="1:75">
      <c r="A23" s="29" t="s">
        <v>16</v>
      </c>
      <c r="B23" s="32">
        <f>BW23</f>
        <v>1</v>
      </c>
      <c r="C23" t="str">
        <f>'Kasia D'!B2</f>
        <v>2:1</v>
      </c>
      <c r="D23" t="str">
        <f>'Kasia D'!B3</f>
        <v>0:2</v>
      </c>
      <c r="E23" t="str">
        <f>'Kasia D'!B4</f>
        <v>0:3</v>
      </c>
      <c r="F23" t="str">
        <f>'Kasia D'!B5</f>
        <v>2:0</v>
      </c>
      <c r="G23" t="str">
        <f>'Kasia D'!B6</f>
        <v>1:2</v>
      </c>
      <c r="H23" t="str">
        <f>'Kasia D'!B7</f>
        <v>3:1</v>
      </c>
      <c r="I23" t="str">
        <f>'Kasia D'!B8</f>
        <v>0:2</v>
      </c>
      <c r="J23" t="str">
        <f>'Kasia D'!B9</f>
        <v>0:3</v>
      </c>
      <c r="K23" t="str">
        <f>'Kasia D'!B10</f>
        <v>3:0</v>
      </c>
      <c r="L23" t="str">
        <f>'Kasia D'!B11</f>
        <v>4:3</v>
      </c>
      <c r="M23" t="str">
        <f>'Kasia D'!B12</f>
        <v>2:2</v>
      </c>
      <c r="N23" t="str">
        <f>'Kasia D'!B13</f>
        <v>2:3</v>
      </c>
      <c r="O23" t="str">
        <f>'Kasia D'!B14</f>
        <v>4:0</v>
      </c>
      <c r="P23" t="str">
        <f>'Kasia D'!B15</f>
        <v>4:0</v>
      </c>
      <c r="Q23" t="str">
        <f>'Kasia D'!B16</f>
        <v>3:1</v>
      </c>
      <c r="R23" t="str">
        <f>'Kasia D'!B17</f>
        <v>0:3</v>
      </c>
      <c r="S23" t="str">
        <f>'Kasia D'!B18</f>
        <v>3:1</v>
      </c>
      <c r="T23" t="str">
        <f>'Kasia D'!B19</f>
        <v>0:2</v>
      </c>
      <c r="U23" t="str">
        <f>'Kasia D'!B20</f>
        <v>3:0</v>
      </c>
      <c r="V23" t="str">
        <f>'Kasia D'!B21</f>
        <v>1:1</v>
      </c>
      <c r="W23" t="str">
        <f>'Kasia D'!B22</f>
        <v>4:0</v>
      </c>
      <c r="X23" t="str">
        <f>'Kasia D'!B23</f>
        <v>2:2</v>
      </c>
      <c r="Y23" t="str">
        <f>'Kasia D'!B24</f>
        <v>1:1</v>
      </c>
      <c r="Z23" t="str">
        <f>'Kasia D'!B25</f>
        <v>0:1</v>
      </c>
      <c r="AA23" t="str">
        <f>'Kasia D'!B26</f>
        <v>2:1</v>
      </c>
      <c r="AB23" t="str">
        <f>'Kasia D'!B27</f>
        <v>1:3</v>
      </c>
      <c r="AC23" t="str">
        <f>'Kasia D'!B28</f>
        <v>1:2</v>
      </c>
      <c r="AD23" t="str">
        <f>'Kasia D'!B29</f>
        <v>2:3</v>
      </c>
      <c r="AE23" t="str">
        <f>'Kasia D'!B30</f>
        <v>1:2</v>
      </c>
      <c r="AF23" t="str">
        <f>'Kasia D'!B31</f>
        <v>3:0</v>
      </c>
      <c r="AG23" t="str">
        <f>'Kasia D'!B32</f>
        <v>3:0</v>
      </c>
      <c r="AH23" t="str">
        <f>'Kasia D'!B33</f>
        <v>2:0</v>
      </c>
      <c r="AI23" t="str">
        <f>'Kasia D'!B34</f>
        <v>3:1</v>
      </c>
      <c r="AJ23" t="str">
        <f>'Kasia D'!B35</f>
        <v>4:0</v>
      </c>
      <c r="AK23" t="str">
        <f>'Kasia D'!B36</f>
        <v>2:1</v>
      </c>
      <c r="AL23" t="str">
        <f>'Kasia D'!B37</f>
        <v>0:2</v>
      </c>
      <c r="AM23" t="str">
        <f>'Kasia D'!B38</f>
        <v>3:1</v>
      </c>
      <c r="AN23" t="str">
        <f>'Kasia D'!B39</f>
        <v>2:0</v>
      </c>
      <c r="AO23" t="str">
        <f>'Kasia D'!B40</f>
        <v>2:0</v>
      </c>
      <c r="AP23" t="str">
        <f>'Kasia D'!B41</f>
        <v>0:2</v>
      </c>
      <c r="AQ23" t="str">
        <f>'Kasia D'!B42</f>
        <v>3:1</v>
      </c>
      <c r="AR23" t="str">
        <f>'Kasia D'!B43</f>
        <v>3:0</v>
      </c>
      <c r="AS23" t="str">
        <f>'Kasia D'!B44</f>
        <v>0:2</v>
      </c>
      <c r="AT23" t="str">
        <f>'Kasia D'!B45</f>
        <v>1:1</v>
      </c>
      <c r="AU23" t="str">
        <f>'Kasia D'!B46</f>
        <v>3:1</v>
      </c>
      <c r="AV23" t="str">
        <f>'Kasia D'!B47</f>
        <v>3:0</v>
      </c>
      <c r="AW23" t="str">
        <f>'Kasia D'!B48</f>
        <v>0:3</v>
      </c>
      <c r="AX23" t="str">
        <f>'Kasia D'!B49</f>
        <v>1:1</v>
      </c>
      <c r="AY23" t="str">
        <f>'Kasia D'!B50</f>
        <v>3:1</v>
      </c>
      <c r="AZ23" t="str">
        <f>'Kasia D'!B51</f>
        <v>2:2</v>
      </c>
      <c r="BA23" t="str">
        <f>'Kasia D'!B52</f>
        <v>0:2</v>
      </c>
      <c r="BB23" t="str">
        <f>'Kasia D'!B53</f>
        <v>0:0</v>
      </c>
      <c r="BC23" t="str">
        <f>'Kasia D'!B54</f>
        <v>1:2</v>
      </c>
      <c r="BD23" t="str">
        <f>'Kasia D'!B55</f>
        <v>1:1</v>
      </c>
      <c r="BE23" t="str">
        <f>'Kasia D'!B56</f>
        <v>1:1</v>
      </c>
      <c r="BF23" t="str">
        <f>'Kasia D'!B57</f>
        <v>0:4</v>
      </c>
      <c r="BG23" t="str">
        <f>'Kasia D'!B58</f>
        <v>2:2</v>
      </c>
      <c r="BH23" t="str">
        <f>'Kasia D'!B59</f>
        <v>0:2</v>
      </c>
      <c r="BI23" t="str">
        <f>'Kasia D'!B60</f>
        <v>2:0</v>
      </c>
      <c r="BJ23" t="str">
        <f>'Kasia D'!B61</f>
        <v>0:2</v>
      </c>
      <c r="BK23" t="str">
        <f>'Kasia D'!B62</f>
        <v>0:3</v>
      </c>
      <c r="BL23" t="str">
        <f>'Kasia D'!B63</f>
        <v>3:1</v>
      </c>
      <c r="BM23" t="str">
        <f>'Kasia D'!B64</f>
        <v>0:2</v>
      </c>
      <c r="BN23" t="str">
        <f>'Kasia D'!B65</f>
        <v>0:2</v>
      </c>
      <c r="BO23" t="str">
        <f>'Kasia D'!B66</f>
        <v>1:1</v>
      </c>
      <c r="BP23" t="str">
        <f>'Kasia D'!B67</f>
        <v>0:2</v>
      </c>
      <c r="BQ23" t="str">
        <f>'Kasia D'!B68</f>
        <v>0:3</v>
      </c>
      <c r="BR23" t="str">
        <f>'Kasia D'!B69</f>
        <v>3:1</v>
      </c>
      <c r="BS23" t="str">
        <f>'Kasia D'!B70</f>
        <v>1:3</v>
      </c>
      <c r="BT23" t="str">
        <f>'Kasia D'!B71</f>
        <v>0:0</v>
      </c>
      <c r="BU23" t="str">
        <f>'Kasia D'!B72</f>
        <v>1:1</v>
      </c>
      <c r="BV23" t="str">
        <f>'Kasia D'!B73</f>
        <v>0:4</v>
      </c>
      <c r="BW23">
        <f>'Kasia D'!D74</f>
        <v>1</v>
      </c>
    </row>
    <row r="24" spans="1:75">
      <c r="A24" s="29" t="s">
        <v>19</v>
      </c>
      <c r="B24" s="32">
        <f>BW24</f>
        <v>1</v>
      </c>
      <c r="C24" t="str">
        <f>Klaudia!B2</f>
        <v>2:1</v>
      </c>
      <c r="D24" t="str">
        <f>Klaudia!B3</f>
        <v>1:1</v>
      </c>
      <c r="E24" t="str">
        <f>Klaudia!B4</f>
        <v>1:1</v>
      </c>
      <c r="F24" t="str">
        <f>Klaudia!B5</f>
        <v>2:0</v>
      </c>
      <c r="G24" t="str">
        <f>Klaudia!B6</f>
        <v>0:2</v>
      </c>
      <c r="H24" t="str">
        <f>Klaudia!B7</f>
        <v>3:1</v>
      </c>
      <c r="I24" t="str">
        <f>Klaudia!B8</f>
        <v>0:2</v>
      </c>
      <c r="J24" t="str">
        <f>Klaudia!B9</f>
        <v>1:1</v>
      </c>
      <c r="K24" t="str">
        <f>Klaudia!B10</f>
        <v>4:0</v>
      </c>
      <c r="L24" t="str">
        <f>Klaudia!B11</f>
        <v>2:1</v>
      </c>
      <c r="M24" t="str">
        <f>Klaudia!B12</f>
        <v>2:1</v>
      </c>
      <c r="N24" t="str">
        <f>Klaudia!B13</f>
        <v>2:0</v>
      </c>
      <c r="O24" t="str">
        <f>Klaudia!B14</f>
        <v>4:0</v>
      </c>
      <c r="P24" t="str">
        <f>Klaudia!B15</f>
        <v>2:0</v>
      </c>
      <c r="Q24" t="str">
        <f>Klaudia!B16</f>
        <v>0:2</v>
      </c>
      <c r="R24" t="str">
        <f>Klaudia!B17</f>
        <v>2:1</v>
      </c>
      <c r="S24" t="str">
        <f>Klaudia!B18</f>
        <v>2:1</v>
      </c>
      <c r="T24" t="str">
        <f>Klaudia!B19</f>
        <v>1:2</v>
      </c>
      <c r="U24" t="str">
        <f>Klaudia!B20</f>
        <v>3:0</v>
      </c>
      <c r="V24" t="str">
        <f>Klaudia!B21</f>
        <v>2:0</v>
      </c>
      <c r="W24" t="str">
        <f>Klaudia!B22</f>
        <v>3:0</v>
      </c>
      <c r="X24" t="str">
        <f>Klaudia!B23</f>
        <v>2:1</v>
      </c>
      <c r="Y24" t="str">
        <f>Klaudia!B24</f>
        <v>2:1</v>
      </c>
      <c r="Z24" t="str">
        <f>Klaudia!B25</f>
        <v>1:2</v>
      </c>
      <c r="AA24" t="str">
        <f>Klaudia!B26</f>
        <v>2:0</v>
      </c>
      <c r="AB24" t="str">
        <f>Klaudia!B27</f>
        <v>2:1</v>
      </c>
      <c r="AC24" t="str">
        <f>Klaudia!B28</f>
        <v>2:1</v>
      </c>
      <c r="AD24" t="str">
        <f>Klaudia!B29</f>
        <v>2:1</v>
      </c>
      <c r="AE24" t="str">
        <f>Klaudia!B30</f>
        <v>2:1</v>
      </c>
      <c r="AF24" t="str">
        <f>Klaudia!B31</f>
        <v>1:1</v>
      </c>
      <c r="AG24" t="str">
        <f>Klaudia!B32</f>
        <v>4:0</v>
      </c>
      <c r="AH24" t="str">
        <f>Klaudia!B33</f>
        <v>2:1</v>
      </c>
      <c r="AI24" t="str">
        <f>Klaudia!B34</f>
        <v>2:1</v>
      </c>
      <c r="AJ24" t="str">
        <f>Klaudia!B35</f>
        <v>3:1</v>
      </c>
      <c r="AK24" t="str">
        <f>Klaudia!B36</f>
        <v>2:0</v>
      </c>
      <c r="AL24" t="str">
        <f>Klaudia!B37</f>
        <v>1:1</v>
      </c>
      <c r="AM24" t="str">
        <f>Klaudia!B38</f>
        <v>3:0</v>
      </c>
      <c r="AN24" t="str">
        <f>Klaudia!B39</f>
        <v>2:1</v>
      </c>
      <c r="AO24" t="str">
        <f>Klaudia!B40</f>
        <v>3:0</v>
      </c>
      <c r="AP24" t="str">
        <f>Klaudia!B41</f>
        <v>0:1</v>
      </c>
      <c r="AQ24" t="str">
        <f>Klaudia!B42</f>
        <v>2:0</v>
      </c>
      <c r="AR24" t="str">
        <f>Klaudia!B43</f>
        <v>3:0</v>
      </c>
      <c r="AS24" t="str">
        <f>Klaudia!B44</f>
        <v>1:1</v>
      </c>
      <c r="AT24" t="str">
        <f>Klaudia!B45</f>
        <v>0:1</v>
      </c>
      <c r="AU24" t="str">
        <f>Klaudia!B46</f>
        <v>3:1</v>
      </c>
      <c r="AV24" t="str">
        <f>Klaudia!B47</f>
        <v>3:1</v>
      </c>
      <c r="AW24" t="str">
        <f>Klaudia!B48</f>
        <v>1:2</v>
      </c>
      <c r="AX24" t="str">
        <f>Klaudia!B49</f>
        <v>2:1</v>
      </c>
      <c r="AY24" t="str">
        <f>Klaudia!B50</f>
        <v>2:1</v>
      </c>
      <c r="AZ24" t="str">
        <f>Klaudia!B51</f>
        <v>2:0</v>
      </c>
      <c r="BA24" t="str">
        <f>Klaudia!B52</f>
        <v>0:3</v>
      </c>
      <c r="BB24" t="str">
        <f>Klaudia!B53</f>
        <v>2:0</v>
      </c>
      <c r="BC24" t="str">
        <f>Klaudia!B54</f>
        <v>2:0</v>
      </c>
      <c r="BD24" t="str">
        <f>Klaudia!B55</f>
        <v>1:1</v>
      </c>
      <c r="BE24" t="str">
        <f>Klaudia!B56</f>
        <v>0:2</v>
      </c>
      <c r="BF24" t="str">
        <f>Klaudia!B57</f>
        <v>1:3</v>
      </c>
      <c r="BG24" t="str">
        <f>Klaudia!B58</f>
        <v>1:1</v>
      </c>
      <c r="BH24" t="str">
        <f>Klaudia!B59</f>
        <v>0:2</v>
      </c>
      <c r="BI24" t="str">
        <f>Klaudia!B60</f>
        <v>1:2</v>
      </c>
      <c r="BJ24" t="str">
        <f>Klaudia!B61</f>
        <v>1:1</v>
      </c>
      <c r="BK24" t="str">
        <f>Klaudia!B62</f>
        <v>1:3</v>
      </c>
      <c r="BL24" t="str">
        <f>Klaudia!B63</f>
        <v>2:0</v>
      </c>
      <c r="BM24" t="str">
        <f>Klaudia!B64</f>
        <v>0:1</v>
      </c>
      <c r="BN24" t="str">
        <f>Klaudia!B65</f>
        <v>1:2</v>
      </c>
      <c r="BO24" t="str">
        <f>Klaudia!B66</f>
        <v>1:1</v>
      </c>
      <c r="BP24" t="str">
        <f>Klaudia!B67</f>
        <v>0:2</v>
      </c>
      <c r="BQ24" t="str">
        <f>Klaudia!B68</f>
        <v>0:3</v>
      </c>
      <c r="BR24" t="str">
        <f>Klaudia!B69</f>
        <v>2:1</v>
      </c>
      <c r="BS24" t="str">
        <f>Klaudia!B70</f>
        <v>1:1</v>
      </c>
      <c r="BT24" t="str">
        <f>Klaudia!B71</f>
        <v>1:1</v>
      </c>
      <c r="BU24" t="str">
        <f>Klaudia!B72</f>
        <v>1:1</v>
      </c>
      <c r="BV24" t="str">
        <f>Klaudia!B73</f>
        <v>0:3</v>
      </c>
      <c r="BW24">
        <f>Klaudia!D74</f>
        <v>1</v>
      </c>
    </row>
    <row r="25" spans="1:75">
      <c r="A25" s="29" t="s">
        <v>20</v>
      </c>
      <c r="B25" s="32">
        <f>BW25</f>
        <v>1</v>
      </c>
      <c r="C25" t="str">
        <f>Magdalena!B2</f>
        <v>3:2</v>
      </c>
      <c r="D25" t="str">
        <f>Magdalena!B3</f>
        <v>2:2</v>
      </c>
      <c r="E25" t="str">
        <f>Magdalena!B4</f>
        <v>0:1</v>
      </c>
      <c r="F25" t="str">
        <f>Magdalena!B5</f>
        <v>2:1</v>
      </c>
      <c r="G25" t="str">
        <f>Magdalena!B6</f>
        <v>3:2</v>
      </c>
      <c r="H25" t="str">
        <f>Magdalena!B7</f>
        <v>4:0</v>
      </c>
      <c r="I25" t="str">
        <f>Magdalena!B8</f>
        <v>0:3</v>
      </c>
      <c r="J25" t="str">
        <f>Magdalena!B9</f>
        <v>2:2</v>
      </c>
      <c r="K25" t="str">
        <f>Magdalena!B10</f>
        <v>5:0</v>
      </c>
      <c r="L25" t="str">
        <f>Magdalena!B11</f>
        <v>3:1</v>
      </c>
      <c r="M25" t="str">
        <f>Magdalena!B12</f>
        <v>1:1</v>
      </c>
      <c r="N25" t="str">
        <f>Magdalena!B13</f>
        <v>4:1</v>
      </c>
      <c r="O25" t="str">
        <f>Magdalena!B14</f>
        <v>5:1</v>
      </c>
      <c r="P25" t="str">
        <f>Magdalena!B15</f>
        <v>3:1</v>
      </c>
      <c r="Q25" t="str">
        <f>Magdalena!B16</f>
        <v>1:2</v>
      </c>
      <c r="R25" t="str">
        <f>Magdalena!B17</f>
        <v>2:2</v>
      </c>
      <c r="S25" t="str">
        <f>Magdalena!B18</f>
        <v>3:1</v>
      </c>
      <c r="T25" t="str">
        <f>Magdalena!B19</f>
        <v>0:4</v>
      </c>
      <c r="U25" t="str">
        <f>Magdalena!B20</f>
        <v>4:1</v>
      </c>
      <c r="V25" t="str">
        <f>Magdalena!B21</f>
        <v>2:0</v>
      </c>
      <c r="W25" t="str">
        <f>Magdalena!B22</f>
        <v>3:0</v>
      </c>
      <c r="X25" t="str">
        <f>Magdalena!B23</f>
        <v>2:2</v>
      </c>
      <c r="Y25" t="str">
        <f>Magdalena!B24</f>
        <v>3:2</v>
      </c>
      <c r="Z25" t="str">
        <f>Magdalena!B25</f>
        <v>3:3</v>
      </c>
      <c r="AA25" t="str">
        <f>Magdalena!B26</f>
        <v>3:1</v>
      </c>
      <c r="AB25" t="str">
        <f>Magdalena!B27</f>
        <v>2:1</v>
      </c>
      <c r="AC25" t="str">
        <f>Magdalena!B28</f>
        <v>3:1</v>
      </c>
      <c r="AD25" t="str">
        <f>Magdalena!B29</f>
        <v>5:2</v>
      </c>
      <c r="AE25" t="str">
        <f>Magdalena!B30</f>
        <v>3:1</v>
      </c>
      <c r="AF25" t="str">
        <f>Magdalena!B31</f>
        <v>3:0</v>
      </c>
      <c r="AG25" t="str">
        <f>Magdalena!B32</f>
        <v>4:0</v>
      </c>
      <c r="AH25" t="str">
        <f>Magdalena!B33</f>
        <v>2:1</v>
      </c>
      <c r="AI25" t="str">
        <f>Magdalena!B34</f>
        <v>2:2</v>
      </c>
      <c r="AJ25" t="str">
        <f>Magdalena!B35</f>
        <v>5:1</v>
      </c>
      <c r="AK25" t="str">
        <f>Magdalena!B36</f>
        <v>2:1</v>
      </c>
      <c r="AL25" t="str">
        <f>Magdalena!B37</f>
        <v>1:3</v>
      </c>
      <c r="AM25" t="str">
        <f>Magdalena!B38</f>
        <v>4:2</v>
      </c>
      <c r="AN25" t="str">
        <f>Magdalena!B39</f>
        <v>1:0</v>
      </c>
      <c r="AO25" t="str">
        <f>Magdalena!B40</f>
        <v>2:1</v>
      </c>
      <c r="AP25" t="str">
        <f>Magdalena!B41</f>
        <v>1:0</v>
      </c>
      <c r="AQ25" t="str">
        <f>Magdalena!B42</f>
        <v>3:2</v>
      </c>
      <c r="AR25" t="str">
        <f>Magdalena!B43</f>
        <v>5:2</v>
      </c>
      <c r="AS25" t="str">
        <f>Magdalena!B44</f>
        <v>3:0</v>
      </c>
      <c r="AT25" t="str">
        <f>Magdalena!B45</f>
        <v>0:1</v>
      </c>
      <c r="AU25" t="str">
        <f>Magdalena!B46</f>
        <v>4:0</v>
      </c>
      <c r="AV25" t="str">
        <f>Magdalena!B47</f>
        <v>3:1</v>
      </c>
      <c r="AW25" t="str">
        <f>Magdalena!B48</f>
        <v>0:1</v>
      </c>
      <c r="AX25" t="str">
        <f>Magdalena!B49</f>
        <v>1:0</v>
      </c>
      <c r="AY25" t="str">
        <f>Magdalena!B50</f>
        <v>1:1</v>
      </c>
      <c r="AZ25" t="str">
        <f>Magdalena!B51</f>
        <v>1:0</v>
      </c>
      <c r="BA25" t="str">
        <f>Magdalena!B52</f>
        <v>2:4</v>
      </c>
      <c r="BB25" t="str">
        <f>Magdalena!B53</f>
        <v>1:0</v>
      </c>
      <c r="BC25" t="str">
        <f>Magdalena!B54</f>
        <v>1:1</v>
      </c>
      <c r="BD25" t="str">
        <f>Magdalena!B55</f>
        <v>1:0</v>
      </c>
      <c r="BE25" t="str">
        <f>Magdalena!B56</f>
        <v>1:2</v>
      </c>
      <c r="BF25" t="str">
        <f>Magdalena!B57</f>
        <v>3:4</v>
      </c>
      <c r="BG25" t="str">
        <f>Magdalena!B58</f>
        <v>2:1</v>
      </c>
      <c r="BH25" t="str">
        <f>Magdalena!B59</f>
        <v>1:2</v>
      </c>
      <c r="BI25" t="str">
        <f>Magdalena!B60</f>
        <v>1:1</v>
      </c>
      <c r="BJ25" t="str">
        <f>Magdalena!B61</f>
        <v>1:2</v>
      </c>
      <c r="BK25" t="str">
        <f>Magdalena!B62</f>
        <v>1:4</v>
      </c>
      <c r="BL25" t="str">
        <f>Magdalena!B63</f>
        <v>0:1</v>
      </c>
      <c r="BM25" t="str">
        <f>Magdalena!B64</f>
        <v>1:0</v>
      </c>
      <c r="BN25" t="str">
        <f>Magdalena!B65</f>
        <v>1:4</v>
      </c>
      <c r="BO25" t="str">
        <f>Magdalena!B66</f>
        <v>2:1</v>
      </c>
      <c r="BP25" t="str">
        <f>Magdalena!B67</f>
        <v>2:3</v>
      </c>
      <c r="BQ25" t="str">
        <f>Magdalena!B68</f>
        <v>1:2</v>
      </c>
      <c r="BR25" t="str">
        <f>Magdalena!B69</f>
        <v>2:1</v>
      </c>
      <c r="BS25" t="str">
        <f>Magdalena!B70</f>
        <v>2:5</v>
      </c>
      <c r="BT25" t="str">
        <f>Magdalena!B71</f>
        <v>1:2</v>
      </c>
      <c r="BU25" t="str">
        <f>Magdalena!B72</f>
        <v>1:2</v>
      </c>
      <c r="BV25" t="str">
        <f>Magdalena!B73</f>
        <v>0:1</v>
      </c>
      <c r="BW25">
        <f>Magdalena!D74</f>
        <v>1</v>
      </c>
    </row>
    <row r="26" spans="1:75">
      <c r="A26" s="29" t="s">
        <v>23</v>
      </c>
      <c r="B26" s="32">
        <f>BW26</f>
        <v>1</v>
      </c>
      <c r="C26" t="str">
        <f>'Monika SP'!B2</f>
        <v>3:0</v>
      </c>
      <c r="D26" t="str">
        <f>'Monika SP'!B3</f>
        <v>1:2</v>
      </c>
      <c r="E26" t="str">
        <f>'Monika SP'!B4</f>
        <v>2:0</v>
      </c>
      <c r="F26" t="str">
        <f>'Monika SP'!B5</f>
        <v>1:0</v>
      </c>
      <c r="G26" t="str">
        <f>'Monika SP'!B6</f>
        <v>0:2</v>
      </c>
      <c r="H26" t="str">
        <f>'Monika SP'!B7</f>
        <v>2:0</v>
      </c>
      <c r="I26" t="str">
        <f>'Monika SP'!B8</f>
        <v>1:3</v>
      </c>
      <c r="J26" t="str">
        <f>'Monika SP'!B9</f>
        <v>1:2</v>
      </c>
      <c r="K26" t="str">
        <f>'Monika SP'!B10</f>
        <v>3:0</v>
      </c>
      <c r="L26" t="str">
        <f>'Monika SP'!B11</f>
        <v>2:0</v>
      </c>
      <c r="M26" t="str">
        <f>'Monika SP'!B12</f>
        <v>1:3</v>
      </c>
      <c r="N26" t="str">
        <f>'Monika SP'!B13</f>
        <v>2:0</v>
      </c>
      <c r="O26" t="str">
        <f>'Monika SP'!B14</f>
        <v>3:0</v>
      </c>
      <c r="P26" t="str">
        <f>'Monika SP'!B15</f>
        <v>2:1</v>
      </c>
      <c r="Q26" t="str">
        <f>'Monika SP'!B16</f>
        <v>2:0</v>
      </c>
      <c r="R26" t="str">
        <f>'Monika SP'!B17</f>
        <v>1:2</v>
      </c>
      <c r="S26" t="str">
        <f>'Monika SP'!B18</f>
        <v>3:0</v>
      </c>
      <c r="T26" t="str">
        <f>'Monika SP'!B19</f>
        <v>0:2</v>
      </c>
      <c r="U26" t="str">
        <f>'Monika SP'!B20</f>
        <v>3:0</v>
      </c>
      <c r="V26" t="str">
        <f>'Monika SP'!B21</f>
        <v>2:1</v>
      </c>
      <c r="W26" t="str">
        <f>'Monika SP'!B22</f>
        <v>3:0</v>
      </c>
      <c r="X26" t="str">
        <f>'Monika SP'!B23</f>
        <v>2:1</v>
      </c>
      <c r="Y26" t="str">
        <f>'Monika SP'!B24</f>
        <v>1:2</v>
      </c>
      <c r="Z26" t="str">
        <f>'Monika SP'!B25</f>
        <v>0:3</v>
      </c>
      <c r="AA26" t="str">
        <f>'Monika SP'!B26</f>
        <v>2:1</v>
      </c>
      <c r="AB26" t="str">
        <f>'Monika SP'!B27</f>
        <v>2:0</v>
      </c>
      <c r="AC26" t="str">
        <f>'Monika SP'!B28</f>
        <v>2:1</v>
      </c>
      <c r="AD26" t="str">
        <f>'Monika SP'!B29</f>
        <v>3:1</v>
      </c>
      <c r="AE26" t="str">
        <f>'Monika SP'!B30</f>
        <v>2:1</v>
      </c>
      <c r="AF26" t="str">
        <f>'Monika SP'!B31</f>
        <v>1:2</v>
      </c>
      <c r="AG26" t="str">
        <f>'Monika SP'!B32</f>
        <v>3:0</v>
      </c>
      <c r="AH26" t="str">
        <f>'Monika SP'!B33</f>
        <v>2:0</v>
      </c>
      <c r="AI26" t="str">
        <f>'Monika SP'!B34</f>
        <v>3:1</v>
      </c>
      <c r="AJ26" t="str">
        <f>'Monika SP'!B35</f>
        <v>3:0</v>
      </c>
      <c r="AK26" t="str">
        <f>'Monika SP'!B36</f>
        <v>2:0</v>
      </c>
      <c r="AL26" t="str">
        <f>'Monika SP'!B37</f>
        <v>1:2</v>
      </c>
      <c r="AM26" t="str">
        <f>'Monika SP'!B38</f>
        <v>2:1</v>
      </c>
      <c r="AN26" t="str">
        <f>'Monika SP'!B39</f>
        <v>2:0</v>
      </c>
      <c r="AO26" t="str">
        <f>'Monika SP'!B40</f>
        <v>2:0</v>
      </c>
      <c r="AP26" t="str">
        <f>'Monika SP'!B41</f>
        <v>0:2</v>
      </c>
      <c r="AQ26" t="str">
        <f>'Monika SP'!B42</f>
        <v>2:0</v>
      </c>
      <c r="AR26" t="str">
        <f>'Monika SP'!B43</f>
        <v>3:0</v>
      </c>
      <c r="AS26" t="str">
        <f>'Monika SP'!B44</f>
        <v>2:1</v>
      </c>
      <c r="AT26" t="str">
        <f>'Monika SP'!B45</f>
        <v>2:3</v>
      </c>
      <c r="AU26" t="str">
        <f>'Monika SP'!B46</f>
        <v>3:0</v>
      </c>
      <c r="AV26" t="str">
        <f>'Monika SP'!B47</f>
        <v>2:0</v>
      </c>
      <c r="AW26" t="str">
        <f>'Monika SP'!B48</f>
        <v>1:2</v>
      </c>
      <c r="AX26" t="str">
        <f>'Monika SP'!B49</f>
        <v>2:0</v>
      </c>
      <c r="AY26" t="str">
        <f>'Monika SP'!B50</f>
        <v>2:1</v>
      </c>
      <c r="AZ26" t="str">
        <f>'Monika SP'!B51</f>
        <v>1:2</v>
      </c>
      <c r="BA26" t="str">
        <f>'Monika SP'!B52</f>
        <v>1:3</v>
      </c>
      <c r="BB26" t="str">
        <f>'Monika SP'!B53</f>
        <v>2:0</v>
      </c>
      <c r="BC26" t="str">
        <f>'Monika SP'!B54</f>
        <v>2:1</v>
      </c>
      <c r="BD26" t="str">
        <f>'Monika SP'!B55</f>
        <v>2:1</v>
      </c>
      <c r="BE26" t="str">
        <f>'Monika SP'!B56</f>
        <v>2:0</v>
      </c>
      <c r="BF26" t="str">
        <f>'Monika SP'!B57</f>
        <v>1:3</v>
      </c>
      <c r="BG26" t="str">
        <f>'Monika SP'!B58</f>
        <v>1:2</v>
      </c>
      <c r="BH26" t="str">
        <f>'Monika SP'!B59</f>
        <v>0:2</v>
      </c>
      <c r="BI26" t="str">
        <f>'Monika SP'!B60</f>
        <v>1:2</v>
      </c>
      <c r="BJ26" t="str">
        <f>'Monika SP'!B61</f>
        <v>1:2</v>
      </c>
      <c r="BK26" t="str">
        <f>'Monika SP'!B62</f>
        <v>1:3</v>
      </c>
      <c r="BL26" t="str">
        <f>'Monika SP'!B63</f>
        <v>2:1</v>
      </c>
      <c r="BM26" t="str">
        <f>'Monika SP'!B64</f>
        <v>0:2</v>
      </c>
      <c r="BN26" t="str">
        <f>'Monika SP'!B65</f>
        <v>0:2</v>
      </c>
      <c r="BO26" t="str">
        <f>'Monika SP'!B66</f>
        <v>2:0</v>
      </c>
      <c r="BP26" t="str">
        <f>'Monika SP'!B67</f>
        <v>1:3</v>
      </c>
      <c r="BQ26" t="str">
        <f>'Monika SP'!B68</f>
        <v>0:3</v>
      </c>
      <c r="BR26" t="str">
        <f>'Monika SP'!B69</f>
        <v>2:0</v>
      </c>
      <c r="BS26" t="str">
        <f>'Monika SP'!B70</f>
        <v>1:2</v>
      </c>
      <c r="BT26" t="str">
        <f>'Monika SP'!B71</f>
        <v>2:0</v>
      </c>
      <c r="BU26" t="str">
        <f>'Monika SP'!B72</f>
        <v>0:2</v>
      </c>
      <c r="BV26" t="str">
        <f>'Monika SP'!B73</f>
        <v>0:3</v>
      </c>
      <c r="BW26">
        <f>'Monika SP'!D74</f>
        <v>1</v>
      </c>
    </row>
    <row r="27" spans="1:75">
      <c r="A27" s="29" t="s">
        <v>26</v>
      </c>
      <c r="B27" s="32">
        <f>BW27</f>
        <v>1</v>
      </c>
      <c r="C27" t="str">
        <f>Przemek!B2</f>
        <v>2:1</v>
      </c>
      <c r="D27" t="str">
        <f>Przemek!B3</f>
        <v>1:1</v>
      </c>
      <c r="E27" t="str">
        <f>Przemek!B4</f>
        <v>3:1</v>
      </c>
      <c r="F27" t="str">
        <f>Przemek!B5</f>
        <v>2:1</v>
      </c>
      <c r="G27" t="str">
        <f>Przemek!B6</f>
        <v>0:3</v>
      </c>
      <c r="H27" t="str">
        <f>Przemek!B7</f>
        <v>2:1</v>
      </c>
      <c r="I27" t="str">
        <f>Przemek!B8</f>
        <v>0:4</v>
      </c>
      <c r="J27" t="str">
        <f>Przemek!B9</f>
        <v>1:3</v>
      </c>
      <c r="K27" t="str">
        <f>Przemek!B10</f>
        <v>5:0</v>
      </c>
      <c r="L27" t="str">
        <f>Przemek!B11</f>
        <v>3:1</v>
      </c>
      <c r="M27" t="str">
        <f>Przemek!B12</f>
        <v>2:2</v>
      </c>
      <c r="N27" t="str">
        <f>Przemek!B13</f>
        <v>1:0</v>
      </c>
      <c r="O27" t="str">
        <f>Przemek!B14</f>
        <v>4:0</v>
      </c>
      <c r="P27" t="str">
        <f>Przemek!B15</f>
        <v>3:2</v>
      </c>
      <c r="Q27" t="str">
        <f>Przemek!B16</f>
        <v>1:2</v>
      </c>
      <c r="R27" t="str">
        <f>Przemek!B17</f>
        <v>1:1</v>
      </c>
      <c r="S27" t="str">
        <f>Przemek!B18</f>
        <v>3:1</v>
      </c>
      <c r="T27" t="str">
        <f>Przemek!B19</f>
        <v>1:5</v>
      </c>
      <c r="U27" t="str">
        <f>Przemek!B20</f>
        <v>3:0</v>
      </c>
      <c r="V27" t="str">
        <f>Przemek!B21</f>
        <v>2:0</v>
      </c>
      <c r="W27" t="str">
        <f>Przemek!B22</f>
        <v>2:0</v>
      </c>
      <c r="X27" t="str">
        <f>Przemek!B23</f>
        <v>2:1</v>
      </c>
      <c r="Y27" t="str">
        <f>Przemek!B24</f>
        <v>2:1</v>
      </c>
      <c r="Z27" t="str">
        <f>Przemek!B25</f>
        <v>0:3</v>
      </c>
      <c r="AA27" t="str">
        <f>Przemek!B26</f>
        <v>1:0</v>
      </c>
      <c r="AB27" t="str">
        <f>Przemek!B27</f>
        <v>2:1</v>
      </c>
      <c r="AC27" t="str">
        <f>Przemek!B28</f>
        <v>2:0</v>
      </c>
      <c r="AD27" t="str">
        <f>Przemek!B29</f>
        <v>2:1</v>
      </c>
      <c r="AE27" t="str">
        <f>Przemek!B30</f>
        <v>2:2</v>
      </c>
      <c r="AF27" t="str">
        <f>Przemek!B31</f>
        <v>1:1</v>
      </c>
      <c r="AG27" t="str">
        <f>Przemek!B32</f>
        <v>3:0</v>
      </c>
      <c r="AH27" t="str">
        <f>Przemek!B33</f>
        <v>2:1</v>
      </c>
      <c r="AI27" t="str">
        <f>Przemek!B34</f>
        <v>3:2</v>
      </c>
      <c r="AJ27" t="str">
        <f>Przemek!B35</f>
        <v>2:1</v>
      </c>
      <c r="AK27" t="str">
        <f>Przemek!B36</f>
        <v>3:0</v>
      </c>
      <c r="AL27" t="str">
        <f>Przemek!B37</f>
        <v>1:1</v>
      </c>
      <c r="AM27" t="str">
        <f>Przemek!B38</f>
        <v>2:1</v>
      </c>
      <c r="AN27" t="str">
        <f>Przemek!B39</f>
        <v>3:1</v>
      </c>
      <c r="AO27" t="str">
        <f>Przemek!B40</f>
        <v>4:1</v>
      </c>
      <c r="AP27" t="str">
        <f>Przemek!B41</f>
        <v>0:1</v>
      </c>
      <c r="AQ27" t="str">
        <f>Przemek!B42</f>
        <v>2:1</v>
      </c>
      <c r="AR27" t="str">
        <f>Przemek!B43</f>
        <v>3:0</v>
      </c>
      <c r="AS27" t="str">
        <f>Przemek!B44</f>
        <v>2:1</v>
      </c>
      <c r="AT27" t="str">
        <f>Przemek!B45</f>
        <v>0:2</v>
      </c>
      <c r="AU27" t="str">
        <f>Przemek!B46</f>
        <v>3:0</v>
      </c>
      <c r="AV27" t="str">
        <f>Przemek!B47</f>
        <v>2:1</v>
      </c>
      <c r="AW27" t="str">
        <f>Przemek!B48</f>
        <v>0:2</v>
      </c>
      <c r="AX27" t="str">
        <f>Przemek!B49</f>
        <v>1:0</v>
      </c>
      <c r="AY27" t="str">
        <f>Przemek!B50</f>
        <v>2:1</v>
      </c>
      <c r="AZ27" t="str">
        <f>Przemek!B51</f>
        <v>2:0</v>
      </c>
      <c r="BA27" t="str">
        <f>Przemek!B52</f>
        <v>1:3</v>
      </c>
      <c r="BB27" t="str">
        <f>Przemek!B53</f>
        <v>3:0</v>
      </c>
      <c r="BC27" t="str">
        <f>Przemek!B54</f>
        <v>1:2</v>
      </c>
      <c r="BD27" t="str">
        <f>Przemek!B55</f>
        <v>1:1</v>
      </c>
      <c r="BE27" t="str">
        <f>Przemek!B56</f>
        <v>0:3</v>
      </c>
      <c r="BF27" t="str">
        <f>Przemek!B57</f>
        <v>1:3</v>
      </c>
      <c r="BG27" t="str">
        <f>Przemek!B58</f>
        <v>1:2</v>
      </c>
      <c r="BH27" t="str">
        <f>Przemek!B59</f>
        <v>1:3</v>
      </c>
      <c r="BI27" t="str">
        <f>Przemek!B60</f>
        <v>2:1</v>
      </c>
      <c r="BJ27" t="str">
        <f>Przemek!B61</f>
        <v>1:1</v>
      </c>
      <c r="BK27" t="str">
        <f>Przemek!B62</f>
        <v>2:2</v>
      </c>
      <c r="BL27" t="str">
        <f>Przemek!B63</f>
        <v>3:1</v>
      </c>
      <c r="BM27" t="str">
        <f>Przemek!B64</f>
        <v>2:1</v>
      </c>
      <c r="BN27" t="str">
        <f>Przemek!B65</f>
        <v>2:3</v>
      </c>
      <c r="BO27" t="str">
        <f>Przemek!B66</f>
        <v>1:0</v>
      </c>
      <c r="BP27" t="str">
        <f>Przemek!B67</f>
        <v>0:2</v>
      </c>
      <c r="BQ27" t="str">
        <f>Przemek!B68</f>
        <v>0:4</v>
      </c>
      <c r="BR27" t="str">
        <f>Przemek!B69</f>
        <v>2:1</v>
      </c>
      <c r="BS27" t="str">
        <f>Przemek!B70</f>
        <v>1:1</v>
      </c>
      <c r="BT27" t="str">
        <f>Przemek!B71</f>
        <v>2:1</v>
      </c>
      <c r="BU27" t="str">
        <f>Przemek!B72</f>
        <v>1:2</v>
      </c>
      <c r="BV27" t="str">
        <f>Przemek!B73</f>
        <v>0:4</v>
      </c>
      <c r="BW27">
        <f>Przemek!D74</f>
        <v>1</v>
      </c>
    </row>
    <row r="28" spans="1:75">
      <c r="A28" s="29" t="s">
        <v>29</v>
      </c>
      <c r="B28" s="32">
        <f>BW28</f>
        <v>1</v>
      </c>
      <c r="C28" t="str">
        <f>'Sylwia G'!B2</f>
        <v>3:0</v>
      </c>
      <c r="D28" t="str">
        <f>'Sylwia G'!B3</f>
        <v>2:2</v>
      </c>
      <c r="E28" t="str">
        <f>'Sylwia G'!B4</f>
        <v>3:1</v>
      </c>
      <c r="F28" t="str">
        <f>'Sylwia G'!B5</f>
        <v>2:1</v>
      </c>
      <c r="G28" t="str">
        <f>'Sylwia G'!B6</f>
        <v>1:4</v>
      </c>
      <c r="H28" t="str">
        <f>'Sylwia G'!B7</f>
        <v>3:0</v>
      </c>
      <c r="I28" t="str">
        <f>'Sylwia G'!B8</f>
        <v>0:4</v>
      </c>
      <c r="J28" t="str">
        <f>'Sylwia G'!B9</f>
        <v>1:1</v>
      </c>
      <c r="K28" t="str">
        <f>'Sylwia G'!B10</f>
        <v>5:1</v>
      </c>
      <c r="L28" t="str">
        <f>'Sylwia G'!B11</f>
        <v>2:0</v>
      </c>
      <c r="M28" t="str">
        <f>'Sylwia G'!B12</f>
        <v>1:0</v>
      </c>
      <c r="N28" t="str">
        <f>'Sylwia G'!B13</f>
        <v>4:0</v>
      </c>
      <c r="O28" t="str">
        <f>'Sylwia G'!B14</f>
        <v>6:0</v>
      </c>
      <c r="P28" t="str">
        <f>'Sylwia G'!B15</f>
        <v>3:1</v>
      </c>
      <c r="Q28" t="str">
        <f>'Sylwia G'!B16</f>
        <v>2:3</v>
      </c>
      <c r="R28" t="str">
        <f>'Sylwia G'!B17</f>
        <v>2:1</v>
      </c>
      <c r="S28" t="str">
        <f>'Sylwia G'!B18</f>
        <v>5:1</v>
      </c>
      <c r="T28" t="str">
        <f>'Sylwia G'!B19</f>
        <v>2:0</v>
      </c>
      <c r="U28" t="str">
        <f>'Sylwia G'!B20</f>
        <v>4:2</v>
      </c>
      <c r="V28" t="str">
        <f>'Sylwia G'!B21</f>
        <v>3:0</v>
      </c>
      <c r="W28" t="str">
        <f>'Sylwia G'!B22</f>
        <v>4:0</v>
      </c>
      <c r="X28" t="str">
        <f>'Sylwia G'!B23</f>
        <v>3:2</v>
      </c>
      <c r="Y28" t="str">
        <f>'Sylwia G'!B24</f>
        <v>1:1</v>
      </c>
      <c r="Z28" t="str">
        <f>'Sylwia G'!B25</f>
        <v>0:2</v>
      </c>
      <c r="AA28" t="str">
        <f>'Sylwia G'!B26</f>
        <v>3:1</v>
      </c>
      <c r="AB28" t="str">
        <f>'Sylwia G'!B27</f>
        <v>2:0</v>
      </c>
      <c r="AC28" t="str">
        <f>'Sylwia G'!B28</f>
        <v>3:0</v>
      </c>
      <c r="AD28" t="str">
        <f>'Sylwia G'!B29</f>
        <v>2:1</v>
      </c>
      <c r="AE28" t="str">
        <f>'Sylwia G'!B30</f>
        <v>2:2</v>
      </c>
      <c r="AF28" t="str">
        <f>'Sylwia G'!B31</f>
        <v>4:0</v>
      </c>
      <c r="AG28" t="str">
        <f>'Sylwia G'!B32</f>
        <v>3:0</v>
      </c>
      <c r="AH28" t="str">
        <f>'Sylwia G'!B33</f>
        <v>1:1</v>
      </c>
      <c r="AI28" t="str">
        <f>'Sylwia G'!B34</f>
        <v>3:1</v>
      </c>
      <c r="AJ28" t="str">
        <f>'Sylwia G'!B35</f>
        <v>5:0</v>
      </c>
      <c r="AK28" t="str">
        <f>'Sylwia G'!B36</f>
        <v>1:0</v>
      </c>
      <c r="AL28" t="str">
        <f>'Sylwia G'!B37</f>
        <v>2:2</v>
      </c>
      <c r="AM28" t="str">
        <f>'Sylwia G'!B38</f>
        <v>4:0</v>
      </c>
      <c r="AN28" t="str">
        <f>'Sylwia G'!B39</f>
        <v>3:0</v>
      </c>
      <c r="AO28" t="str">
        <f>'Sylwia G'!B40</f>
        <v>2:1</v>
      </c>
      <c r="AP28" t="str">
        <f>'Sylwia G'!B41</f>
        <v>2:0</v>
      </c>
      <c r="AQ28" t="str">
        <f>'Sylwia G'!B42</f>
        <v>3:1</v>
      </c>
      <c r="AR28" t="str">
        <f>'Sylwia G'!B43</f>
        <v>5:0</v>
      </c>
      <c r="AS28" t="str">
        <f>'Sylwia G'!B44</f>
        <v>3:1</v>
      </c>
      <c r="AT28" t="str">
        <f>'Sylwia G'!B45</f>
        <v>2:1</v>
      </c>
      <c r="AU28" t="str">
        <f>'Sylwia G'!B46</f>
        <v>4:0</v>
      </c>
      <c r="AV28" t="str">
        <f>'Sylwia G'!B47</f>
        <v>5:0</v>
      </c>
      <c r="AW28" t="str">
        <f>'Sylwia G'!B48</f>
        <v>0:4</v>
      </c>
      <c r="AX28" t="str">
        <f>'Sylwia G'!B49</f>
        <v>2:1</v>
      </c>
      <c r="AY28" t="str">
        <f>'Sylwia G'!B50</f>
        <v>2:2</v>
      </c>
      <c r="AZ28" t="str">
        <f>'Sylwia G'!B51</f>
        <v>1:0</v>
      </c>
      <c r="BA28" t="str">
        <f>'Sylwia G'!B52</f>
        <v>1:3</v>
      </c>
      <c r="BB28" t="str">
        <f>'Sylwia G'!B53</f>
        <v>0:0</v>
      </c>
      <c r="BC28" t="str">
        <f>'Sylwia G'!B54</f>
        <v>1:3</v>
      </c>
      <c r="BD28" t="str">
        <f>'Sylwia G'!B55</f>
        <v>1:1</v>
      </c>
      <c r="BE28" t="str">
        <f>'Sylwia G'!B56</f>
        <v>2:1</v>
      </c>
      <c r="BF28" t="str">
        <f>'Sylwia G'!B57</f>
        <v>1:4</v>
      </c>
      <c r="BG28" t="str">
        <f>'Sylwia G'!B58</f>
        <v>1:1</v>
      </c>
      <c r="BH28" t="str">
        <f>'Sylwia G'!B59</f>
        <v>1:3</v>
      </c>
      <c r="BI28" t="str">
        <f>'Sylwia G'!B60</f>
        <v>1:2</v>
      </c>
      <c r="BJ28" t="str">
        <f>'Sylwia G'!B61</f>
        <v>0:2</v>
      </c>
      <c r="BK28" t="str">
        <f>'Sylwia G'!B62</f>
        <v>0:3</v>
      </c>
      <c r="BL28" t="str">
        <f>'Sylwia G'!B63</f>
        <v>0:0</v>
      </c>
      <c r="BM28" t="str">
        <f>'Sylwia G'!B64</f>
        <v>2:2</v>
      </c>
      <c r="BN28" t="str">
        <f>'Sylwia G'!B65</f>
        <v>1:3</v>
      </c>
      <c r="BO28" t="str">
        <f>'Sylwia G'!B66</f>
        <v>0:0</v>
      </c>
      <c r="BP28" t="str">
        <f>'Sylwia G'!B67</f>
        <v>1:4</v>
      </c>
      <c r="BQ28" t="str">
        <f>'Sylwia G'!B68</f>
        <v>0:3</v>
      </c>
      <c r="BR28" t="str">
        <f>'Sylwia G'!B69</f>
        <v>3:1</v>
      </c>
      <c r="BS28" t="str">
        <f>'Sylwia G'!B70</f>
        <v>1:3</v>
      </c>
      <c r="BT28" t="str">
        <f>'Sylwia G'!B71</f>
        <v>0:1</v>
      </c>
      <c r="BU28" t="str">
        <f>'Sylwia G'!B72</f>
        <v>1:2</v>
      </c>
      <c r="BV28" t="str">
        <f>'Sylwia G'!B73</f>
        <v>0:3</v>
      </c>
      <c r="BW28">
        <f>'Sylwia G'!D74</f>
        <v>1</v>
      </c>
    </row>
    <row r="29" spans="1:75">
      <c r="A29" s="29" t="s">
        <v>30</v>
      </c>
      <c r="B29" s="32">
        <f>BW29</f>
        <v>1</v>
      </c>
      <c r="C29" t="str">
        <f>'Sylwia CRS'!B2</f>
        <v>2:1</v>
      </c>
      <c r="D29" t="str">
        <f>'Sylwia CRS'!B3</f>
        <v>1:2</v>
      </c>
      <c r="E29" t="str">
        <f>'Sylwia CRS'!B4</f>
        <v>1:1</v>
      </c>
      <c r="F29" t="str">
        <f>'Sylwia CRS'!B5</f>
        <v>2:0</v>
      </c>
      <c r="G29" t="str">
        <f>'Sylwia CRS'!B6</f>
        <v>1:3</v>
      </c>
      <c r="H29" t="str">
        <f>'Sylwia CRS'!B7</f>
        <v>1:0</v>
      </c>
      <c r="I29" t="str">
        <f>'Sylwia CRS'!B8</f>
        <v>1:3</v>
      </c>
      <c r="J29" t="str">
        <f>'Sylwia CRS'!B9</f>
        <v>2:1</v>
      </c>
      <c r="K29" t="str">
        <f>'Sylwia CRS'!B10</f>
        <v>3:1</v>
      </c>
      <c r="L29" t="str">
        <f>'Sylwia CRS'!B11</f>
        <v>2:0</v>
      </c>
      <c r="M29" t="str">
        <f>'Sylwia CRS'!B12</f>
        <v>1:1</v>
      </c>
      <c r="N29" t="str">
        <f>'Sylwia CRS'!B13</f>
        <v>3:1</v>
      </c>
      <c r="O29" t="str">
        <f>'Sylwia CRS'!B14</f>
        <v>3:0</v>
      </c>
      <c r="P29" t="str">
        <f>'Sylwia CRS'!B15</f>
        <v>0:1</v>
      </c>
      <c r="Q29" t="str">
        <f>'Sylwia CRS'!B16</f>
        <v>1:1</v>
      </c>
      <c r="R29" t="str">
        <f>'Sylwia CRS'!B17</f>
        <v>0:2</v>
      </c>
      <c r="S29" t="str">
        <f>'Sylwia CRS'!B18</f>
        <v>2:0</v>
      </c>
      <c r="T29" t="str">
        <f>'Sylwia CRS'!B19</f>
        <v>1:2</v>
      </c>
      <c r="U29" t="str">
        <f>'Sylwia CRS'!B20</f>
        <v>2:1</v>
      </c>
      <c r="V29" t="str">
        <f>'Sylwia CRS'!B21</f>
        <v>2:0</v>
      </c>
      <c r="W29" t="str">
        <f>'Sylwia CRS'!B22</f>
        <v>2:0</v>
      </c>
      <c r="X29" t="str">
        <f>'Sylwia CRS'!B23</f>
        <v>3:3</v>
      </c>
      <c r="Y29" t="str">
        <f>'Sylwia CRS'!B24</f>
        <v>1:0</v>
      </c>
      <c r="Z29" t="str">
        <f>'Sylwia CRS'!B25</f>
        <v>1:1</v>
      </c>
      <c r="AA29" t="str">
        <f>'Sylwia CRS'!B26</f>
        <v>2:1</v>
      </c>
      <c r="AB29" t="str">
        <f>'Sylwia CRS'!B27</f>
        <v>2:0</v>
      </c>
      <c r="AC29" t="str">
        <f>'Sylwia CRS'!B28</f>
        <v>1:0</v>
      </c>
      <c r="AD29" t="str">
        <f>'Sylwia CRS'!B29</f>
        <v>1:0</v>
      </c>
      <c r="AE29" t="str">
        <f>'Sylwia CRS'!B30</f>
        <v>1:2</v>
      </c>
      <c r="AF29" t="str">
        <f>'Sylwia CRS'!B31</f>
        <v>1:1</v>
      </c>
      <c r="AG29" t="str">
        <f>'Sylwia CRS'!B32</f>
        <v>2:1</v>
      </c>
      <c r="AH29" t="str">
        <f>'Sylwia CRS'!B33</f>
        <v>1:1</v>
      </c>
      <c r="AI29" t="str">
        <f>'Sylwia CRS'!B34</f>
        <v>3:2</v>
      </c>
      <c r="AJ29" t="str">
        <f>'Sylwia CRS'!B35</f>
        <v>2:0</v>
      </c>
      <c r="AK29" t="str">
        <f>'Sylwia CRS'!B36</f>
        <v>0:0</v>
      </c>
      <c r="AL29" t="str">
        <f>'Sylwia CRS'!B37</f>
        <v>1:2</v>
      </c>
      <c r="AM29" t="str">
        <f>'Sylwia CRS'!B38</f>
        <v>2:1</v>
      </c>
      <c r="AN29" t="str">
        <f>'Sylwia CRS'!B39</f>
        <v>0:0</v>
      </c>
      <c r="AO29" t="str">
        <f>'Sylwia CRS'!B40</f>
        <v>1:1</v>
      </c>
      <c r="AP29" t="str">
        <f>'Sylwia CRS'!B41</f>
        <v>1:2</v>
      </c>
      <c r="AQ29" t="str">
        <f>'Sylwia CRS'!B42</f>
        <v>2:2</v>
      </c>
      <c r="AR29" t="str">
        <f>'Sylwia CRS'!B43</f>
        <v>1:1</v>
      </c>
      <c r="AS29" t="str">
        <f>'Sylwia CRS'!B44</f>
        <v>2:1</v>
      </c>
      <c r="AT29" t="str">
        <f>'Sylwia CRS'!B45</f>
        <v>1:1</v>
      </c>
      <c r="AU29" t="str">
        <f>'Sylwia CRS'!B46</f>
        <v>2:1</v>
      </c>
      <c r="AV29" t="str">
        <f>'Sylwia CRS'!B47</f>
        <v>2:0</v>
      </c>
      <c r="AW29" t="str">
        <f>'Sylwia CRS'!B48</f>
        <v>1:3</v>
      </c>
      <c r="AX29" t="str">
        <f>'Sylwia CRS'!B49</f>
        <v>1:0</v>
      </c>
      <c r="AY29" t="str">
        <f>'Sylwia CRS'!B50</f>
        <v>3:2</v>
      </c>
      <c r="AZ29" t="str">
        <f>'Sylwia CRS'!B51</f>
        <v>1:1</v>
      </c>
      <c r="BA29" t="str">
        <f>'Sylwia CRS'!B52</f>
        <v>1:2</v>
      </c>
      <c r="BB29" t="str">
        <f>'Sylwia CRS'!B53</f>
        <v>1:1</v>
      </c>
      <c r="BC29" t="str">
        <f>'Sylwia CRS'!B54</f>
        <v>2:1</v>
      </c>
      <c r="BD29" t="str">
        <f>'Sylwia CRS'!B55</f>
        <v>1:0</v>
      </c>
      <c r="BE29" t="str">
        <f>'Sylwia CRS'!B56</f>
        <v>0:1</v>
      </c>
      <c r="BF29" t="str">
        <f>'Sylwia CRS'!B57</f>
        <v>1:2</v>
      </c>
      <c r="BG29" t="str">
        <f>'Sylwia CRS'!B58</f>
        <v>1:2</v>
      </c>
      <c r="BH29" t="str">
        <f>'Sylwia CRS'!B59</f>
        <v>1:3</v>
      </c>
      <c r="BI29" t="str">
        <f>'Sylwia CRS'!B60</f>
        <v>1:1</v>
      </c>
      <c r="BJ29" t="str">
        <f>'Sylwia CRS'!B61</f>
        <v>1:1</v>
      </c>
      <c r="BK29" t="str">
        <f>'Sylwia CRS'!B62</f>
        <v>2:2</v>
      </c>
      <c r="BL29" t="str">
        <f>'Sylwia CRS'!B63</f>
        <v>1:1</v>
      </c>
      <c r="BM29" t="str">
        <f>'Sylwia CRS'!B64</f>
        <v>0:1</v>
      </c>
      <c r="BN29" t="str">
        <f>'Sylwia CRS'!B65</f>
        <v>0:2</v>
      </c>
      <c r="BO29" t="str">
        <f>'Sylwia CRS'!B66</f>
        <v>2:1</v>
      </c>
      <c r="BP29" t="str">
        <f>'Sylwia CRS'!B67</f>
        <v>1:2</v>
      </c>
      <c r="BQ29" t="str">
        <f>'Sylwia CRS'!B68</f>
        <v>1:3</v>
      </c>
      <c r="BR29" t="str">
        <f>'Sylwia CRS'!B69</f>
        <v>2:0</v>
      </c>
      <c r="BS29" t="str">
        <f>'Sylwia CRS'!B70</f>
        <v>1:3</v>
      </c>
      <c r="BT29" t="str">
        <f>'Sylwia CRS'!B71</f>
        <v>1:1</v>
      </c>
      <c r="BU29" t="str">
        <f>'Sylwia CRS'!B72</f>
        <v>1:1</v>
      </c>
      <c r="BV29" t="str">
        <f>'Sylwia CRS'!B73</f>
        <v>0:1</v>
      </c>
      <c r="BW29">
        <f>'Sylwia CRS'!D74</f>
        <v>1</v>
      </c>
    </row>
    <row r="30" spans="1:75">
      <c r="A30" s="29" t="s">
        <v>31</v>
      </c>
      <c r="B30" s="32">
        <f>BW30</f>
        <v>1</v>
      </c>
      <c r="C30" t="str">
        <f>Vadym!B2</f>
        <v>3:1</v>
      </c>
      <c r="D30" t="str">
        <f>Vadym!B3</f>
        <v>1:1</v>
      </c>
      <c r="E30" t="str">
        <f>Vadym!B4</f>
        <v>1:0</v>
      </c>
      <c r="F30" t="str">
        <f>Vadym!B5</f>
        <v>3:0</v>
      </c>
      <c r="G30" t="str">
        <f>Vadym!B6</f>
        <v>0:4</v>
      </c>
      <c r="H30" t="str">
        <f>Vadym!B7</f>
        <v>2:2</v>
      </c>
      <c r="I30" t="str">
        <f>Vadym!B8</f>
        <v>0:5</v>
      </c>
      <c r="J30" t="str">
        <f>Vadym!B9</f>
        <v>1:1</v>
      </c>
      <c r="K30" t="str">
        <f>Vadym!B10</f>
        <v>9:0</v>
      </c>
      <c r="L30" t="str">
        <f>Vadym!B11</f>
        <v>3:2</v>
      </c>
      <c r="M30" t="str">
        <f>Vadym!B12</f>
        <v>0:6</v>
      </c>
      <c r="N30" t="str">
        <f>Vadym!B13</f>
        <v>2:1</v>
      </c>
      <c r="O30" t="str">
        <f>Vadym!B14</f>
        <v>8:0</v>
      </c>
      <c r="P30" t="str">
        <f>Vadym!B15</f>
        <v>3:1</v>
      </c>
      <c r="Q30" t="str">
        <f>Vadym!B16</f>
        <v>1:2</v>
      </c>
      <c r="R30" t="str">
        <f>Vadym!B17</f>
        <v>1:0</v>
      </c>
      <c r="S30" t="str">
        <f>Vadym!B18</f>
        <v>2:1</v>
      </c>
      <c r="T30" t="str">
        <f>Vadym!B19</f>
        <v>0:4</v>
      </c>
      <c r="U30" t="str">
        <f>Vadym!B20</f>
        <v>3:1</v>
      </c>
      <c r="V30" t="str">
        <f>Vadym!B21</f>
        <v>3:0</v>
      </c>
      <c r="W30" t="str">
        <f>Vadym!B22</f>
        <v>5:0</v>
      </c>
      <c r="X30" t="str">
        <f>Vadym!B23</f>
        <v>2:1</v>
      </c>
      <c r="Y30" t="str">
        <f>Vadym!B24</f>
        <v>3:1</v>
      </c>
      <c r="Z30" t="str">
        <f>Vadym!B25</f>
        <v>1:2</v>
      </c>
      <c r="AA30" t="str">
        <f>Vadym!B26</f>
        <v>2:1</v>
      </c>
      <c r="AB30" t="str">
        <f>Vadym!B27</f>
        <v>2:1</v>
      </c>
      <c r="AC30" t="str">
        <f>Vadym!B28</f>
        <v>3:0</v>
      </c>
      <c r="AD30" t="str">
        <f>Vadym!B29</f>
        <v>1:2</v>
      </c>
      <c r="AE30" t="str">
        <f>Vadym!B30</f>
        <v>2:0</v>
      </c>
      <c r="AF30" t="str">
        <f>Vadym!B31</f>
        <v>3:1</v>
      </c>
      <c r="AG30" t="str">
        <f>Vadym!B32</f>
        <v>4:0</v>
      </c>
      <c r="AH30" t="str">
        <f>Vadym!B33</f>
        <v>3:1</v>
      </c>
      <c r="AI30" t="str">
        <f>Vadym!B34</f>
        <v>2:1</v>
      </c>
      <c r="AJ30" t="str">
        <f>Vadym!B35</f>
        <v>3:2</v>
      </c>
      <c r="AK30" t="str">
        <f>Vadym!B36</f>
        <v>4:0</v>
      </c>
      <c r="AL30" t="str">
        <f>Vadym!B37</f>
        <v>1:3</v>
      </c>
      <c r="AM30" t="str">
        <f>Vadym!B38</f>
        <v>6:0</v>
      </c>
      <c r="AN30" t="str">
        <f>Vadym!B39</f>
        <v>3:0</v>
      </c>
      <c r="AO30" t="str">
        <f>Vadym!B40</f>
        <v>0:2</v>
      </c>
      <c r="AP30" t="str">
        <f>Vadym!B41</f>
        <v>2:1</v>
      </c>
      <c r="AQ30" t="str">
        <f>Vadym!B42</f>
        <v>2:1</v>
      </c>
      <c r="AR30" t="str">
        <f>Vadym!B43</f>
        <v>5:0</v>
      </c>
      <c r="AS30" t="str">
        <f>Vadym!B44</f>
        <v>3:3</v>
      </c>
      <c r="AT30" t="str">
        <f>Vadym!B45</f>
        <v>1:2</v>
      </c>
      <c r="AU30" t="str">
        <f>Vadym!B46</f>
        <v>4:1</v>
      </c>
      <c r="AV30" t="str">
        <f>Vadym!B47</f>
        <v>2:1</v>
      </c>
      <c r="AW30" t="str">
        <f>Vadym!B48</f>
        <v>0:3</v>
      </c>
      <c r="AX30" t="str">
        <f>Vadym!B49</f>
        <v>2:0</v>
      </c>
      <c r="AY30" t="str">
        <f>Vadym!B50</f>
        <v>2:2</v>
      </c>
      <c r="AZ30" t="str">
        <f>Vadym!B51</f>
        <v>2:1</v>
      </c>
      <c r="BA30" t="str">
        <f>Vadym!B52</f>
        <v>1:2</v>
      </c>
      <c r="BB30" t="str">
        <f>Vadym!B53</f>
        <v>3:0</v>
      </c>
      <c r="BC30" t="str">
        <f>Vadym!B54</f>
        <v>1:2</v>
      </c>
      <c r="BD30" t="str">
        <f>Vadym!B55</f>
        <v>0:3</v>
      </c>
      <c r="BE30" t="str">
        <f>Vadym!B56</f>
        <v>0:5</v>
      </c>
      <c r="BF30" t="str">
        <f>Vadym!B57</f>
        <v>1:3</v>
      </c>
      <c r="BG30" t="str">
        <f>Vadym!B58</f>
        <v>2:2</v>
      </c>
      <c r="BH30" t="str">
        <f>Vadym!B59</f>
        <v>1:2</v>
      </c>
      <c r="BI30" t="str">
        <f>Vadym!B60</f>
        <v>2:3</v>
      </c>
      <c r="BJ30" t="str">
        <f>Vadym!B61</f>
        <v>1:2</v>
      </c>
      <c r="BK30" t="str">
        <f>Vadym!B62</f>
        <v>2:2</v>
      </c>
      <c r="BL30" t="str">
        <f>Vadym!B63</f>
        <v>2:1</v>
      </c>
      <c r="BM30" t="str">
        <f>Vadym!B64</f>
        <v>0:3</v>
      </c>
      <c r="BN30" t="str">
        <f>Vadym!B65</f>
        <v>1:3</v>
      </c>
      <c r="BO30" t="str">
        <f>Vadym!B66</f>
        <v>1:1</v>
      </c>
      <c r="BP30" t="str">
        <f>Vadym!B67</f>
        <v>1:3</v>
      </c>
      <c r="BQ30" t="str">
        <f>Vadym!B68</f>
        <v>0:6</v>
      </c>
      <c r="BR30" t="str">
        <f>Vadym!B69</f>
        <v>2:1</v>
      </c>
      <c r="BS30" t="str">
        <f>Vadym!B70</f>
        <v>2:3</v>
      </c>
      <c r="BT30" t="str">
        <f>Vadym!B71</f>
        <v>0:3</v>
      </c>
      <c r="BU30" t="str">
        <f>Vadym!B72</f>
        <v>1:2</v>
      </c>
      <c r="BV30" t="str">
        <f>Vadym!B73</f>
        <v>0:3</v>
      </c>
      <c r="BW30">
        <f>Vadym!D74</f>
        <v>1</v>
      </c>
    </row>
    <row r="31" spans="1:75" ht="15.75" thickBot="1">
      <c r="A31" s="30" t="s">
        <v>15</v>
      </c>
      <c r="B31" s="33">
        <f>BW31</f>
        <v>0</v>
      </c>
      <c r="C31" t="str">
        <f>Asia!B2</f>
        <v>1:1</v>
      </c>
      <c r="D31" t="str">
        <f>Asia!B3</f>
        <v>2:2</v>
      </c>
      <c r="E31" t="str">
        <f>Asia!B4</f>
        <v>3:1</v>
      </c>
      <c r="F31" t="str">
        <f>Asia!B5</f>
        <v>1:0</v>
      </c>
      <c r="G31" t="str">
        <f>Asia!B6</f>
        <v>1:3</v>
      </c>
      <c r="H31" t="str">
        <f>Asia!B7</f>
        <v>3:1</v>
      </c>
      <c r="I31" t="str">
        <f>Asia!B8</f>
        <v>1:2</v>
      </c>
      <c r="J31" t="str">
        <f>Asia!B9</f>
        <v>1:3</v>
      </c>
      <c r="K31" t="str">
        <f>Asia!B10</f>
        <v>2:0</v>
      </c>
      <c r="L31" t="str">
        <f>Asia!B11</f>
        <v>2:2</v>
      </c>
      <c r="M31" t="str">
        <f>Asia!B12</f>
        <v>0:0</v>
      </c>
      <c r="N31" t="str">
        <f>Asia!B13</f>
        <v>2:1</v>
      </c>
      <c r="O31" t="str">
        <f>Asia!B14</f>
        <v>4:0</v>
      </c>
      <c r="P31" t="str">
        <f>Asia!B15</f>
        <v>2:0</v>
      </c>
      <c r="Q31" t="str">
        <f>Asia!B16</f>
        <v>0:1</v>
      </c>
      <c r="R31" t="str">
        <f>Asia!B17</f>
        <v>1:0</v>
      </c>
      <c r="S31" t="str">
        <f>Asia!B18</f>
        <v>3:1</v>
      </c>
      <c r="T31" t="str">
        <f>Asia!B19</f>
        <v>0:1</v>
      </c>
      <c r="U31" t="str">
        <f>Asia!B20</f>
        <v>3:1</v>
      </c>
      <c r="V31" t="str">
        <f>Asia!B21</f>
        <v>2:0</v>
      </c>
      <c r="W31" t="str">
        <f>Asia!B22</f>
        <v>3:0</v>
      </c>
      <c r="X31" t="str">
        <f>Asia!B23</f>
        <v>2:2</v>
      </c>
      <c r="Y31" t="str">
        <f>Asia!B24</f>
        <v>1:1</v>
      </c>
      <c r="Z31" t="str">
        <f>Asia!B25</f>
        <v>1:3</v>
      </c>
      <c r="AA31" t="str">
        <f>Asia!B26</f>
        <v>0:2</v>
      </c>
      <c r="AB31" t="str">
        <f>Asia!B27</f>
        <v>3:1</v>
      </c>
      <c r="AC31" t="str">
        <f>Asia!B28</f>
        <v>3:1</v>
      </c>
      <c r="AD31" t="str">
        <f>Asia!B29</f>
        <v>2:2</v>
      </c>
      <c r="AE31" t="str">
        <f>Asia!B30</f>
        <v>1:0</v>
      </c>
      <c r="AF31" t="str">
        <f>Asia!B31</f>
        <v>2:2</v>
      </c>
      <c r="AG31" t="str">
        <f>Asia!B32</f>
        <v>2:0</v>
      </c>
      <c r="AH31" t="str">
        <f>Asia!B33</f>
        <v>2:1</v>
      </c>
      <c r="AI31" t="str">
        <f>Asia!B34</f>
        <v>2:2</v>
      </c>
      <c r="AJ31" t="str">
        <f>Asia!B35</f>
        <v>3:0</v>
      </c>
      <c r="AK31" t="str">
        <f>Asia!B36</f>
        <v>1:0</v>
      </c>
      <c r="AL31" t="str">
        <f>Asia!B37</f>
        <v>0:1</v>
      </c>
      <c r="AM31" t="str">
        <f>Asia!B38</f>
        <v>3:0</v>
      </c>
      <c r="AN31" t="str">
        <f>Asia!B39</f>
        <v>2:2</v>
      </c>
      <c r="AO31" t="str">
        <f>Asia!B40</f>
        <v>2:1</v>
      </c>
      <c r="AP31" t="str">
        <f>Asia!B41</f>
        <v>1:2</v>
      </c>
      <c r="AQ31" t="str">
        <f>Asia!B42</f>
        <v>3:1</v>
      </c>
      <c r="AR31" t="str">
        <f>Asia!B43</f>
        <v>3:1</v>
      </c>
      <c r="AS31" t="str">
        <f>Asia!B44</f>
        <v>1:1</v>
      </c>
      <c r="AT31" t="str">
        <f>Asia!B45</f>
        <v>1:2</v>
      </c>
      <c r="AU31" t="str">
        <f>Asia!B46</f>
        <v>3:0</v>
      </c>
      <c r="AV31" t="str">
        <f>Asia!B47</f>
        <v>2:1</v>
      </c>
      <c r="AW31" t="str">
        <f>Asia!B48</f>
        <v>1:3</v>
      </c>
      <c r="AX31" t="str">
        <f>Asia!B49</f>
        <v>1:0</v>
      </c>
      <c r="AY31" t="str">
        <f>Asia!B50</f>
        <v>2:1</v>
      </c>
      <c r="AZ31" t="str">
        <f>Asia!B51</f>
        <v>1:0</v>
      </c>
      <c r="BA31" t="str">
        <f>Asia!B52</f>
        <v>0:3</v>
      </c>
      <c r="BB31" t="str">
        <f>Asia!B53</f>
        <v>2:0</v>
      </c>
      <c r="BC31" t="str">
        <f>Asia!B54</f>
        <v>0:2</v>
      </c>
      <c r="BD31" t="str">
        <f>Asia!B55</f>
        <v>2:2</v>
      </c>
      <c r="BE31" t="str">
        <f>Asia!B56</f>
        <v>1:2</v>
      </c>
      <c r="BF31" t="str">
        <f>Asia!B57</f>
        <v>0:3</v>
      </c>
      <c r="BG31" t="str">
        <f>Asia!B58</f>
        <v>3:1</v>
      </c>
      <c r="BH31" t="str">
        <f>Asia!B59</f>
        <v>2:2</v>
      </c>
      <c r="BI31" t="str">
        <f>Asia!B60</f>
        <v>2:1</v>
      </c>
      <c r="BJ31" t="str">
        <f>Asia!B61</f>
        <v>2:1</v>
      </c>
      <c r="BK31" t="str">
        <f>Asia!B62</f>
        <v>0:2</v>
      </c>
      <c r="BL31" t="str">
        <f>Asia!B63</f>
        <v>1:1</v>
      </c>
      <c r="BM31" t="str">
        <f>Asia!B64</f>
        <v>0:1</v>
      </c>
      <c r="BN31" t="str">
        <f>Asia!B65</f>
        <v>0:3</v>
      </c>
      <c r="BO31" t="str">
        <f>Asia!B66</f>
        <v>0:0</v>
      </c>
      <c r="BP31" t="str">
        <f>Asia!B67</f>
        <v>0:3</v>
      </c>
      <c r="BQ31" t="str">
        <f>Asia!B68</f>
        <v>0:4</v>
      </c>
      <c r="BR31" t="str">
        <f>Asia!B69</f>
        <v>3:1</v>
      </c>
      <c r="BS31" t="str">
        <f>Asia!B70</f>
        <v>1:2</v>
      </c>
      <c r="BT31" t="str">
        <f>Asia!B71</f>
        <v>1:1</v>
      </c>
      <c r="BU31" t="str">
        <f>Asia!B72</f>
        <v>0:2</v>
      </c>
      <c r="BV31" t="str">
        <f>Asia!B73</f>
        <v>1:3</v>
      </c>
      <c r="BW31">
        <f>Asia!D74</f>
        <v>0</v>
      </c>
    </row>
  </sheetData>
  <sortState ref="A2:BW31">
    <sortCondition descending="1" ref="B2:B31"/>
  </sortState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selection activeCell="C4" sqref="C4"/>
    </sheetView>
  </sheetViews>
  <sheetFormatPr defaultRowHeight="15"/>
  <cols>
    <col min="1" max="1" width="44.7109375" style="20" bestFit="1" customWidth="1"/>
    <col min="2" max="3" width="16" style="20" customWidth="1"/>
  </cols>
  <sheetData>
    <row r="1" spans="1:3">
      <c r="A1" s="1" t="s">
        <v>105</v>
      </c>
      <c r="B1" s="1" t="s">
        <v>106</v>
      </c>
      <c r="C1" s="1" t="s">
        <v>107</v>
      </c>
    </row>
    <row r="2" spans="1:3">
      <c r="A2" t="s">
        <v>33</v>
      </c>
      <c r="B2">
        <v>2</v>
      </c>
      <c r="C2">
        <v>0</v>
      </c>
    </row>
    <row r="3" spans="1:3">
      <c r="A3" t="s">
        <v>34</v>
      </c>
      <c r="B3">
        <v>2</v>
      </c>
      <c r="C3">
        <v>1</v>
      </c>
    </row>
    <row r="4" spans="1:3">
      <c r="A4" t="s">
        <v>35</v>
      </c>
    </row>
    <row r="5" spans="1:3">
      <c r="A5" t="s">
        <v>36</v>
      </c>
    </row>
    <row r="6" spans="1:3">
      <c r="A6" t="s">
        <v>37</v>
      </c>
    </row>
    <row r="7" spans="1:3">
      <c r="A7" t="s">
        <v>38</v>
      </c>
    </row>
    <row r="8" spans="1:3">
      <c r="A8" t="s">
        <v>39</v>
      </c>
    </row>
    <row r="9" spans="1:3">
      <c r="A9" t="s">
        <v>40</v>
      </c>
    </row>
    <row r="10" spans="1:3">
      <c r="A10" t="s">
        <v>41</v>
      </c>
    </row>
    <row r="11" spans="1:3">
      <c r="A11" t="s">
        <v>42</v>
      </c>
    </row>
    <row r="12" spans="1:3">
      <c r="A12" t="s">
        <v>43</v>
      </c>
    </row>
    <row r="13" spans="1:3">
      <c r="A13" t="s">
        <v>44</v>
      </c>
    </row>
    <row r="14" spans="1:3">
      <c r="A14" t="s">
        <v>45</v>
      </c>
    </row>
    <row r="15" spans="1:3">
      <c r="A15" t="s">
        <v>46</v>
      </c>
    </row>
    <row r="16" spans="1:3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56</v>
      </c>
    </row>
    <row r="26" spans="1:1">
      <c r="A26" t="s">
        <v>57</v>
      </c>
    </row>
    <row r="27" spans="1:1">
      <c r="A27" t="s">
        <v>58</v>
      </c>
    </row>
    <row r="28" spans="1:1">
      <c r="A28" t="s">
        <v>59</v>
      </c>
    </row>
    <row r="29" spans="1:1">
      <c r="A29" t="s">
        <v>60</v>
      </c>
    </row>
    <row r="30" spans="1:1">
      <c r="A30" t="s">
        <v>61</v>
      </c>
    </row>
    <row r="31" spans="1:1">
      <c r="A31" t="s">
        <v>62</v>
      </c>
    </row>
    <row r="32" spans="1:1">
      <c r="A32" t="s">
        <v>63</v>
      </c>
    </row>
    <row r="33" spans="1:1">
      <c r="A33" t="s">
        <v>64</v>
      </c>
    </row>
    <row r="34" spans="1:1">
      <c r="A34" t="s">
        <v>65</v>
      </c>
    </row>
    <row r="35" spans="1:1">
      <c r="A35" t="s">
        <v>66</v>
      </c>
    </row>
    <row r="36" spans="1:1">
      <c r="A36" t="s">
        <v>67</v>
      </c>
    </row>
    <row r="37" spans="1:1">
      <c r="A37" t="s">
        <v>68</v>
      </c>
    </row>
    <row r="38" spans="1:1">
      <c r="A38" t="s">
        <v>69</v>
      </c>
    </row>
    <row r="39" spans="1:1">
      <c r="A39" t="s">
        <v>70</v>
      </c>
    </row>
    <row r="40" spans="1:1">
      <c r="A40" t="s">
        <v>71</v>
      </c>
    </row>
    <row r="41" spans="1:1">
      <c r="A41" t="s">
        <v>72</v>
      </c>
    </row>
    <row r="42" spans="1:1">
      <c r="A42" t="s">
        <v>73</v>
      </c>
    </row>
    <row r="43" spans="1:1">
      <c r="A43" t="s">
        <v>74</v>
      </c>
    </row>
    <row r="44" spans="1:1">
      <c r="A44" t="s">
        <v>75</v>
      </c>
    </row>
    <row r="45" spans="1:1">
      <c r="A45" t="s">
        <v>76</v>
      </c>
    </row>
    <row r="46" spans="1:1">
      <c r="A46" t="s">
        <v>77</v>
      </c>
    </row>
    <row r="47" spans="1:1">
      <c r="A47" t="s">
        <v>78</v>
      </c>
    </row>
    <row r="48" spans="1:1">
      <c r="A48" t="s">
        <v>79</v>
      </c>
    </row>
    <row r="49" spans="1:1">
      <c r="A49" t="s">
        <v>80</v>
      </c>
    </row>
    <row r="50" spans="1:1">
      <c r="A50" t="s">
        <v>81</v>
      </c>
    </row>
    <row r="51" spans="1:1">
      <c r="A51" t="s">
        <v>82</v>
      </c>
    </row>
    <row r="52" spans="1:1">
      <c r="A52" t="s">
        <v>83</v>
      </c>
    </row>
    <row r="53" spans="1:1">
      <c r="A53" t="s">
        <v>84</v>
      </c>
    </row>
    <row r="54" spans="1:1">
      <c r="A54" t="s">
        <v>85</v>
      </c>
    </row>
    <row r="55" spans="1:1">
      <c r="A55" t="s">
        <v>86</v>
      </c>
    </row>
    <row r="56" spans="1:1">
      <c r="A56" t="s">
        <v>87</v>
      </c>
    </row>
    <row r="57" spans="1:1">
      <c r="A57" t="s">
        <v>88</v>
      </c>
    </row>
    <row r="58" spans="1:1">
      <c r="A58" t="s">
        <v>89</v>
      </c>
    </row>
    <row r="59" spans="1:1">
      <c r="A59" t="s">
        <v>90</v>
      </c>
    </row>
    <row r="60" spans="1:1">
      <c r="A60" t="s">
        <v>91</v>
      </c>
    </row>
    <row r="61" spans="1:1">
      <c r="A61" t="s">
        <v>92</v>
      </c>
    </row>
    <row r="62" spans="1:1">
      <c r="A62" t="s">
        <v>93</v>
      </c>
    </row>
    <row r="63" spans="1:1">
      <c r="A63" t="s">
        <v>94</v>
      </c>
    </row>
    <row r="64" spans="1:1">
      <c r="A64" t="s">
        <v>95</v>
      </c>
    </row>
    <row r="65" spans="1:1">
      <c r="A65" t="s">
        <v>96</v>
      </c>
    </row>
    <row r="66" spans="1:1">
      <c r="A66" t="s">
        <v>97</v>
      </c>
    </row>
    <row r="67" spans="1:1">
      <c r="A67" t="s">
        <v>98</v>
      </c>
    </row>
    <row r="68" spans="1:1">
      <c r="A68" t="s">
        <v>99</v>
      </c>
    </row>
    <row r="69" spans="1:1">
      <c r="A69" t="s">
        <v>100</v>
      </c>
    </row>
    <row r="70" spans="1:1">
      <c r="A70" t="s">
        <v>101</v>
      </c>
    </row>
    <row r="71" spans="1:1">
      <c r="A71" t="s">
        <v>102</v>
      </c>
    </row>
    <row r="72" spans="1:1">
      <c r="A72" t="s">
        <v>103</v>
      </c>
    </row>
    <row r="73" spans="1:1">
      <c r="A73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activeCell="E6" sqref="E6"/>
    </sheetView>
  </sheetViews>
  <sheetFormatPr defaultRowHeight="15"/>
  <cols>
    <col min="1" max="1" width="16" style="20" customWidth="1"/>
    <col min="2" max="2" width="16" style="5" customWidth="1"/>
    <col min="3" max="4" width="16" style="20" customWidth="1"/>
  </cols>
  <sheetData>
    <row r="1" spans="1:3">
      <c r="A1" s="17" t="s">
        <v>105</v>
      </c>
      <c r="B1" s="18" t="s">
        <v>108</v>
      </c>
      <c r="C1" s="17" t="s">
        <v>1</v>
      </c>
    </row>
    <row r="2" spans="1:3">
      <c r="A2" t="s">
        <v>33</v>
      </c>
      <c r="B2" s="5" t="s">
        <v>109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s="5" t="s">
        <v>110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s="5" t="s">
        <v>111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5" t="s">
        <v>110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5" t="s">
        <v>111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5" t="s">
        <v>112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5" t="s">
        <v>111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5" t="s">
        <v>111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5" t="s">
        <v>113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5" t="s">
        <v>110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5" t="s">
        <v>114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5" t="s">
        <v>115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5" t="s">
        <v>116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5" t="s">
        <v>109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5" t="s">
        <v>111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5" t="s">
        <v>112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5" t="s">
        <v>112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5" t="s">
        <v>111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5" t="s">
        <v>112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5" t="s">
        <v>109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5" t="s">
        <v>113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5" t="s">
        <v>110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5" t="s">
        <v>115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5" t="s">
        <v>110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5" t="s">
        <v>115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5" t="s">
        <v>117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5" t="s">
        <v>112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5" t="s">
        <v>109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5" t="s">
        <v>109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5" t="s">
        <v>117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5" t="s">
        <v>116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5" t="s">
        <v>114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5" t="s">
        <v>118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5" t="s">
        <v>109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5" t="s">
        <v>112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5" t="s">
        <v>111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5" t="s">
        <v>112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5" t="s">
        <v>115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5" t="s">
        <v>112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5" t="s">
        <v>117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5" t="s">
        <v>115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5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5" t="s">
        <v>117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5" t="s">
        <v>117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5" t="s">
        <v>112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5" t="s">
        <v>112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5" t="s">
        <v>111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5" t="s">
        <v>112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5" t="s">
        <v>114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5" t="s">
        <v>112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5" t="s">
        <v>119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5" t="s">
        <v>115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5" t="s">
        <v>110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5" t="s">
        <v>120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5" t="s">
        <v>111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5" t="s">
        <v>117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5" t="s">
        <v>109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5" t="s">
        <v>111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5" t="s">
        <v>110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5" t="s">
        <v>115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5" t="s">
        <v>119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5" t="s">
        <v>112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5" t="s">
        <v>110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5" t="s">
        <v>121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5" t="s">
        <v>115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5" t="s">
        <v>111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5" t="s">
        <v>111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5" t="s">
        <v>115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5" t="s">
        <v>110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5" t="s">
        <v>117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5" t="s">
        <v>120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5" t="s">
        <v>122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opLeftCell="A49" workbookViewId="0">
      <selection activeCell="D89" sqref="D89"/>
    </sheetView>
  </sheetViews>
  <sheetFormatPr defaultRowHeight="15"/>
  <cols>
    <col min="1" max="4" width="16" style="20" customWidth="1"/>
  </cols>
  <sheetData>
    <row r="1" spans="1:3">
      <c r="A1" s="6" t="s">
        <v>105</v>
      </c>
      <c r="B1" s="7" t="s">
        <v>108</v>
      </c>
      <c r="C1" s="6" t="s">
        <v>1</v>
      </c>
    </row>
    <row r="2" spans="1:3">
      <c r="A2" t="s">
        <v>33</v>
      </c>
      <c r="B2" s="8" t="s">
        <v>124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s="8" t="s">
        <v>114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s="8" t="s">
        <v>117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8" t="s">
        <v>121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8" t="s">
        <v>118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8" t="s">
        <v>124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8" t="s">
        <v>114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8" t="s">
        <v>117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8" t="s">
        <v>121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8" t="s">
        <v>118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8" t="s">
        <v>124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8" t="s">
        <v>114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8" t="s">
        <v>117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8" t="s">
        <v>121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8" t="s">
        <v>118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8" t="s">
        <v>124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8" t="s">
        <v>114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8" t="s">
        <v>117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8" t="s">
        <v>121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8" t="s">
        <v>118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8" t="s">
        <v>124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8" t="s">
        <v>114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8" t="s">
        <v>117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8" t="s">
        <v>121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8" t="s">
        <v>118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8" t="s">
        <v>124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8" t="s">
        <v>114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8" t="s">
        <v>117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8" t="s">
        <v>121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8" t="s">
        <v>118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8" t="s">
        <v>124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8" t="s">
        <v>114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8" t="s">
        <v>117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8" t="s">
        <v>121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8" t="s">
        <v>118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8" t="s">
        <v>124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8" t="s">
        <v>114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8" t="s">
        <v>117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8" t="s">
        <v>121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8" t="s">
        <v>118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8" t="s">
        <v>124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8" t="s">
        <v>114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8" t="s">
        <v>117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8" t="s">
        <v>121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8" t="s">
        <v>118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8" t="s">
        <v>124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8" t="s">
        <v>114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8" t="s">
        <v>117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8" t="s">
        <v>121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8" t="s">
        <v>118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8" t="s">
        <v>124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8" t="s">
        <v>114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8" t="s">
        <v>117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8" t="s">
        <v>121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8" t="s">
        <v>118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8" t="s">
        <v>124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8" t="s">
        <v>114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8" t="s">
        <v>117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8" t="s">
        <v>121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8" t="s">
        <v>118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8" t="s">
        <v>124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8" t="s">
        <v>114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8" t="s">
        <v>117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8" t="s">
        <v>121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8" t="s">
        <v>118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8" t="s">
        <v>124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8" t="s">
        <v>114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8" t="s">
        <v>117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8" t="s">
        <v>121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8" t="s">
        <v>118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8" t="s">
        <v>124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8" t="s">
        <v>114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opLeftCell="A43" workbookViewId="0">
      <selection activeCell="C79" sqref="C79"/>
    </sheetView>
  </sheetViews>
  <sheetFormatPr defaultRowHeight="15"/>
  <cols>
    <col min="1" max="4" width="16" style="20" customWidth="1"/>
  </cols>
  <sheetData>
    <row r="1" spans="1:3">
      <c r="A1" s="9" t="s">
        <v>105</v>
      </c>
      <c r="B1" s="10" t="s">
        <v>108</v>
      </c>
      <c r="C1" s="9" t="s">
        <v>1</v>
      </c>
    </row>
    <row r="2" spans="1:3">
      <c r="A2" t="s">
        <v>33</v>
      </c>
      <c r="B2" s="11" t="s">
        <v>118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t="s">
        <v>121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t="s">
        <v>109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t="s">
        <v>112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t="s">
        <v>111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t="s">
        <v>109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t="s">
        <v>111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t="s">
        <v>110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t="s">
        <v>113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t="s">
        <v>109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t="s">
        <v>110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t="s">
        <v>112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t="s">
        <v>125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t="s">
        <v>109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t="s">
        <v>111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t="s">
        <v>110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t="s">
        <v>112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t="s">
        <v>121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t="s">
        <v>116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t="s">
        <v>112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t="s">
        <v>116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t="s">
        <v>109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t="s">
        <v>112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t="s">
        <v>121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t="s">
        <v>112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t="s">
        <v>109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t="s">
        <v>109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t="s">
        <v>112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t="s">
        <v>109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t="s">
        <v>110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t="s">
        <v>113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t="s">
        <v>109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t="s">
        <v>109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t="s">
        <v>118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t="s">
        <v>113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t="s">
        <v>121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t="s">
        <v>113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t="s">
        <v>112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t="s">
        <v>116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t="s">
        <v>121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t="s">
        <v>112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t="s">
        <v>110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t="s">
        <v>111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t="s">
        <v>118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t="s">
        <v>109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t="s">
        <v>122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t="s">
        <v>116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t="s">
        <v>109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t="s">
        <v>112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t="s">
        <v>111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t="s">
        <v>116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t="s">
        <v>121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t="s">
        <v>110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t="s">
        <v>122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t="s">
        <v>119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t="s">
        <v>110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t="s">
        <v>111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t="s">
        <v>110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t="s">
        <v>109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t="s">
        <v>111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t="s">
        <v>112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t="s">
        <v>110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t="s">
        <v>121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t="s">
        <v>110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t="s">
        <v>122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t="s">
        <v>122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t="s">
        <v>109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t="s">
        <v>121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t="s">
        <v>110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t="s">
        <v>110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t="s">
        <v>126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C73"/>
    </sheetView>
  </sheetViews>
  <sheetFormatPr defaultRowHeight="15"/>
  <cols>
    <col min="1" max="4" width="16" style="20" customWidth="1"/>
  </cols>
  <sheetData>
    <row r="1" spans="1:3">
      <c r="A1" s="6" t="s">
        <v>105</v>
      </c>
      <c r="B1" s="7" t="s">
        <v>108</v>
      </c>
      <c r="C1" s="6" t="s">
        <v>1</v>
      </c>
    </row>
    <row r="2" spans="1:3">
      <c r="A2" t="s">
        <v>33</v>
      </c>
      <c r="B2" t="s">
        <v>109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t="s">
        <v>110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t="s">
        <v>112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t="s">
        <v>118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t="s">
        <v>115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t="s">
        <v>109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t="s">
        <v>110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t="s">
        <v>112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t="s">
        <v>118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t="s">
        <v>115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t="s">
        <v>109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t="s">
        <v>110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t="s">
        <v>112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t="s">
        <v>118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t="s">
        <v>115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t="s">
        <v>109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t="s">
        <v>110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t="s">
        <v>112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t="s">
        <v>118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t="s">
        <v>115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t="s">
        <v>109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t="s">
        <v>110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t="s">
        <v>112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t="s">
        <v>118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t="s">
        <v>115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t="s">
        <v>109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t="s">
        <v>110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t="s">
        <v>112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t="s">
        <v>118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t="s">
        <v>115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t="s">
        <v>109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t="s">
        <v>110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t="s">
        <v>112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t="s">
        <v>118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t="s">
        <v>115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t="s">
        <v>109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t="s">
        <v>110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t="s">
        <v>112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t="s">
        <v>118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t="s">
        <v>115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t="s">
        <v>109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t="s">
        <v>110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t="s">
        <v>112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t="s">
        <v>118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t="s">
        <v>115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t="s">
        <v>109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t="s">
        <v>110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t="s">
        <v>112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t="s">
        <v>118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t="s">
        <v>115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t="s">
        <v>109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t="s">
        <v>110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t="s">
        <v>112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t="s">
        <v>118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t="s">
        <v>115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t="s">
        <v>109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t="s">
        <v>110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t="s">
        <v>112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t="s">
        <v>118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t="s">
        <v>115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t="s">
        <v>109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t="s">
        <v>110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t="s">
        <v>112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t="s">
        <v>118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t="s">
        <v>115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t="s">
        <v>109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t="s">
        <v>110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t="s">
        <v>112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t="s">
        <v>118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t="s">
        <v>115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t="s">
        <v>109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t="s">
        <v>110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activeCell="H68" sqref="H68"/>
    </sheetView>
  </sheetViews>
  <sheetFormatPr defaultRowHeight="15"/>
  <cols>
    <col min="1" max="4" width="16" style="20" customWidth="1"/>
  </cols>
  <sheetData>
    <row r="1" spans="1:3">
      <c r="A1" s="12" t="s">
        <v>105</v>
      </c>
      <c r="B1" s="13" t="s">
        <v>108</v>
      </c>
      <c r="C1" s="17" t="s">
        <v>1</v>
      </c>
    </row>
    <row r="2" spans="1:3">
      <c r="A2" s="14" t="s">
        <v>33</v>
      </c>
      <c r="B2" s="15" t="s">
        <v>116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s="14" t="s">
        <v>34</v>
      </c>
      <c r="B3" s="15" t="s">
        <v>117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s="14" t="s">
        <v>35</v>
      </c>
      <c r="B4" s="15" t="s">
        <v>109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s="14" t="s">
        <v>36</v>
      </c>
      <c r="B5" s="15" t="s">
        <v>124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s="14" t="s">
        <v>37</v>
      </c>
      <c r="B6" s="15" t="s">
        <v>117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s="14" t="s">
        <v>38</v>
      </c>
      <c r="B7" s="15" t="s">
        <v>118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s="14" t="s">
        <v>39</v>
      </c>
      <c r="B8" s="15" t="s">
        <v>109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s="14" t="s">
        <v>40</v>
      </c>
      <c r="B9" s="15" t="s">
        <v>109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s="14" t="s">
        <v>41</v>
      </c>
      <c r="B10" s="15" t="s">
        <v>112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s="14" t="s">
        <v>42</v>
      </c>
      <c r="B11" s="15" t="s">
        <v>118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s="14" t="s">
        <v>43</v>
      </c>
      <c r="B12" s="15" t="s">
        <v>114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s="14" t="s">
        <v>44</v>
      </c>
      <c r="B13" s="15" t="s">
        <v>121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s="14" t="s">
        <v>45</v>
      </c>
      <c r="B14" s="15" t="s">
        <v>113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s="14" t="s">
        <v>46</v>
      </c>
      <c r="B15" s="15" t="s">
        <v>112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s="14" t="s">
        <v>47</v>
      </c>
      <c r="B16" s="15" t="s">
        <v>119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s="14" t="s">
        <v>48</v>
      </c>
      <c r="B17" s="15" t="s">
        <v>119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s="14" t="s">
        <v>49</v>
      </c>
      <c r="B18" s="15" t="s">
        <v>114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s="14" t="s">
        <v>50</v>
      </c>
      <c r="B19" s="15" t="s">
        <v>115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s="14" t="s">
        <v>51</v>
      </c>
      <c r="B20" s="15" t="s">
        <v>112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s="14" t="s">
        <v>52</v>
      </c>
      <c r="B21" s="15" t="s">
        <v>109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s="14" t="s">
        <v>53</v>
      </c>
      <c r="B22" s="15" t="s">
        <v>116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s="14" t="s">
        <v>54</v>
      </c>
      <c r="B23" s="15" t="s">
        <v>118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s="14" t="s">
        <v>55</v>
      </c>
      <c r="B24" s="15" t="s">
        <v>112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s="14" t="s">
        <v>56</v>
      </c>
      <c r="B25" s="15" t="s">
        <v>117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s="14" t="s">
        <v>57</v>
      </c>
      <c r="B26" s="15" t="s">
        <v>117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s="14" t="s">
        <v>58</v>
      </c>
      <c r="B27" s="15" t="s">
        <v>112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s="14" t="s">
        <v>59</v>
      </c>
      <c r="B28" s="15" t="s">
        <v>115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s="14" t="s">
        <v>60</v>
      </c>
      <c r="B29" s="15" t="s">
        <v>112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s="14" t="s">
        <v>61</v>
      </c>
      <c r="B30" s="15" t="s">
        <v>110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s="14" t="s">
        <v>62</v>
      </c>
      <c r="B31" s="15" t="s">
        <v>120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s="14" t="s">
        <v>63</v>
      </c>
      <c r="B32" s="15" t="s">
        <v>118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s="14" t="s">
        <v>64</v>
      </c>
      <c r="B33" s="15" t="s">
        <v>110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s="14" t="s">
        <v>65</v>
      </c>
      <c r="B34" s="15" t="s">
        <v>109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s="14" t="s">
        <v>66</v>
      </c>
      <c r="B35" s="15" t="s">
        <v>116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s="14" t="s">
        <v>67</v>
      </c>
      <c r="B36" s="15" t="s">
        <v>109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s="14" t="s">
        <v>68</v>
      </c>
      <c r="B37" s="15" t="s">
        <v>111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s="14" t="s">
        <v>69</v>
      </c>
      <c r="B38" s="15" t="s">
        <v>118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s="14" t="s">
        <v>70</v>
      </c>
      <c r="B39" s="15" t="s">
        <v>115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s="14" t="s">
        <v>71</v>
      </c>
      <c r="B40" s="15" t="s">
        <v>116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s="14" t="s">
        <v>72</v>
      </c>
      <c r="B41" s="15" t="s">
        <v>121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s="14" t="s">
        <v>73</v>
      </c>
      <c r="B42" s="15" t="s">
        <v>112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s="14" t="s">
        <v>74</v>
      </c>
      <c r="B43" s="15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s="14" t="s">
        <v>75</v>
      </c>
      <c r="B44" s="15" t="s">
        <v>121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s="14" t="s">
        <v>76</v>
      </c>
      <c r="B45" s="15" t="s">
        <v>121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s="14" t="s">
        <v>77</v>
      </c>
      <c r="B46" s="15" t="s">
        <v>113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s="14" t="s">
        <v>78</v>
      </c>
      <c r="B47" s="15" t="s">
        <v>112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s="14" t="s">
        <v>79</v>
      </c>
      <c r="B48" s="15" t="s">
        <v>111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s="14" t="s">
        <v>80</v>
      </c>
      <c r="B49" s="15" t="s">
        <v>116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s="14" t="s">
        <v>81</v>
      </c>
      <c r="B50" s="15" t="s">
        <v>110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s="14" t="s">
        <v>82</v>
      </c>
      <c r="B51" s="15" t="s">
        <v>120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s="14" t="s">
        <v>83</v>
      </c>
      <c r="B52" s="15" t="s">
        <v>111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s="14" t="s">
        <v>84</v>
      </c>
      <c r="B53" s="15" t="s">
        <v>118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s="14" t="s">
        <v>85</v>
      </c>
      <c r="B54" s="15" t="s">
        <v>115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s="14" t="s">
        <v>86</v>
      </c>
      <c r="B55" s="15" t="s">
        <v>114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s="14" t="s">
        <v>87</v>
      </c>
      <c r="B56" s="15" t="s">
        <v>122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s="14" t="s">
        <v>88</v>
      </c>
      <c r="B57" s="15" t="s">
        <v>119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s="14" t="s">
        <v>89</v>
      </c>
      <c r="B58" s="15" t="s">
        <v>114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s="14" t="s">
        <v>90</v>
      </c>
      <c r="B59" s="15" t="s">
        <v>121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s="14" t="s">
        <v>91</v>
      </c>
      <c r="B60" s="15" t="s">
        <v>115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s="14" t="s">
        <v>92</v>
      </c>
      <c r="B61" s="15" t="s">
        <v>110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s="14" t="s">
        <v>93</v>
      </c>
      <c r="B62" s="15" t="s">
        <v>119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s="14" t="s">
        <v>94</v>
      </c>
      <c r="B63" s="15" t="s">
        <v>112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s="14" t="s">
        <v>95</v>
      </c>
      <c r="B64" s="15" t="s">
        <v>121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s="14" t="s">
        <v>96</v>
      </c>
      <c r="B65" s="15" t="s">
        <v>111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s="14" t="s">
        <v>97</v>
      </c>
      <c r="B66" s="15" t="s">
        <v>109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s="14" t="s">
        <v>98</v>
      </c>
      <c r="B67" s="15" t="s">
        <v>115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s="14" t="s">
        <v>99</v>
      </c>
      <c r="B68" s="15" t="s">
        <v>122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s="14" t="s">
        <v>100</v>
      </c>
      <c r="B69" s="15" t="s">
        <v>115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s="14" t="s">
        <v>101</v>
      </c>
      <c r="B70" s="15" t="s">
        <v>115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s="14" t="s">
        <v>102</v>
      </c>
      <c r="B71" s="15" t="s">
        <v>120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s="14" t="s">
        <v>103</v>
      </c>
      <c r="B72" s="15" t="s">
        <v>117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s="14" t="s">
        <v>104</v>
      </c>
      <c r="B73" s="15" t="s">
        <v>126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C73"/>
    </sheetView>
  </sheetViews>
  <sheetFormatPr defaultRowHeight="15"/>
  <cols>
    <col min="1" max="4" width="16" style="20" customWidth="1"/>
  </cols>
  <sheetData>
    <row r="1" spans="1:3">
      <c r="A1" s="6" t="s">
        <v>105</v>
      </c>
      <c r="B1" s="6" t="s">
        <v>108</v>
      </c>
      <c r="C1" s="6" t="s">
        <v>1</v>
      </c>
    </row>
    <row r="2" spans="1:3">
      <c r="A2" t="s">
        <v>33</v>
      </c>
      <c r="B2" s="16" t="s">
        <v>116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s="16" t="s">
        <v>114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s="16" t="s">
        <v>109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16" t="s">
        <v>110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16" t="s">
        <v>111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16" t="s">
        <v>118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16" t="s">
        <v>111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16" t="s">
        <v>127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16" t="s">
        <v>113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16" t="s">
        <v>114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16" t="s">
        <v>110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16" t="s">
        <v>115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16" t="s">
        <v>113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16" t="s">
        <v>109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16" t="s">
        <v>111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16" t="s">
        <v>115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16" t="s">
        <v>114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16" t="s">
        <v>121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16" t="s">
        <v>112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16" t="s">
        <v>114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16" t="s">
        <v>116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16" t="s">
        <v>109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16" t="s">
        <v>114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16" t="s">
        <v>119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16" t="s">
        <v>112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16" t="s">
        <v>118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16" t="s">
        <v>112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16" t="s">
        <v>110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16" t="s">
        <v>114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16" t="s">
        <v>118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16" t="s">
        <v>110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16" t="s">
        <v>114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16" t="s">
        <v>109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16" t="s">
        <v>113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16" t="s">
        <v>128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16" t="s">
        <v>122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16" t="s">
        <v>129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16" t="s">
        <v>116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16" t="s">
        <v>109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16" t="s">
        <v>109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16" t="s">
        <v>113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16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16" t="s">
        <v>114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16" t="s">
        <v>111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16" t="s">
        <v>116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16" t="s">
        <v>118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16" t="s">
        <v>111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16" t="s">
        <v>110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16" t="s">
        <v>114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16" t="s">
        <v>115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16" t="s">
        <v>119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16" t="s">
        <v>109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16" t="s">
        <v>121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16" t="s">
        <v>110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16" t="s">
        <v>109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16" t="s">
        <v>114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16" t="s">
        <v>109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16" t="s">
        <v>122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16" t="s">
        <v>119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16" t="s">
        <v>112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16" t="s">
        <v>126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16" t="s">
        <v>114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16" t="s">
        <v>114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16" t="s">
        <v>118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16" t="s">
        <v>120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16" t="s">
        <v>119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16" t="s">
        <v>122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16" t="s">
        <v>124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16" t="s">
        <v>110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16" t="s">
        <v>114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16" t="s">
        <v>110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16" t="s">
        <v>126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C73"/>
    </sheetView>
  </sheetViews>
  <sheetFormatPr defaultRowHeight="15"/>
  <cols>
    <col min="1" max="4" width="16" style="20" customWidth="1"/>
  </cols>
  <sheetData>
    <row r="1" spans="1:3">
      <c r="A1" s="17" t="s">
        <v>105</v>
      </c>
      <c r="B1" s="18" t="s">
        <v>108</v>
      </c>
      <c r="C1" s="17" t="s">
        <v>1</v>
      </c>
    </row>
    <row r="2" spans="1:3">
      <c r="A2" t="s">
        <v>33</v>
      </c>
      <c r="B2" s="5" t="s">
        <v>116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s="5" t="s">
        <v>110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s="5" t="s">
        <v>109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5" t="s">
        <v>112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5" t="s">
        <v>121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5" t="s">
        <v>109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5" t="s">
        <v>111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5" t="s">
        <v>110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5" t="s">
        <v>113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5" t="s">
        <v>109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5" t="s">
        <v>110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5" t="s">
        <v>112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5" t="s">
        <v>113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5" t="s">
        <v>109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5" t="s">
        <v>111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5" t="s">
        <v>115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5" t="s">
        <v>109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5" t="s">
        <v>111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5" t="s">
        <v>118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5" t="s">
        <v>112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5" t="s">
        <v>116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5" t="s">
        <v>118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5" t="s">
        <v>109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5" t="s">
        <v>121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5" t="s">
        <v>112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5" t="s">
        <v>109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5" t="s">
        <v>109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5" t="s">
        <v>112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5" t="s">
        <v>109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5" t="s">
        <v>110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5" t="s">
        <v>113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5" t="s">
        <v>110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5" t="s">
        <v>109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5" t="s">
        <v>112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5" t="s">
        <v>116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5" t="s">
        <v>121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5" t="s">
        <v>116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5" t="s">
        <v>112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5" t="s">
        <v>112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5" t="s">
        <v>110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5" t="s">
        <v>109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5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5" t="s">
        <v>110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5" t="s">
        <v>111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5" t="s">
        <v>112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5" t="s">
        <v>109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5" t="s">
        <v>111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5" t="s">
        <v>116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5" t="s">
        <v>110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5" t="s">
        <v>109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5" t="s">
        <v>111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5" t="s">
        <v>116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5" t="s">
        <v>121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5" t="s">
        <v>121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5" t="s">
        <v>111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5" t="s">
        <v>121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5" t="s">
        <v>110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5" t="s">
        <v>111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5" t="s">
        <v>121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5" t="s">
        <v>110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5" t="s">
        <v>121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5" t="s">
        <v>112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5" t="s">
        <v>110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5" t="s">
        <v>122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5" t="s">
        <v>110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5" t="s">
        <v>111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5" t="s">
        <v>122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5" t="s">
        <v>109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5" t="s">
        <v>121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5" t="s">
        <v>110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5" t="s">
        <v>121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5" t="s">
        <v>122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C73"/>
    </sheetView>
  </sheetViews>
  <sheetFormatPr defaultRowHeight="15"/>
  <cols>
    <col min="1" max="4" width="16" style="20" customWidth="1"/>
  </cols>
  <sheetData>
    <row r="1" spans="1:3">
      <c r="A1" s="17" t="s">
        <v>105</v>
      </c>
      <c r="B1" s="18" t="s">
        <v>108</v>
      </c>
      <c r="C1" s="17" t="s">
        <v>1</v>
      </c>
    </row>
    <row r="2" spans="1:3">
      <c r="A2" t="s">
        <v>33</v>
      </c>
      <c r="B2" s="5" t="s">
        <v>109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s="5" t="s">
        <v>110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s="5" t="s">
        <v>115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5" t="s">
        <v>109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5" t="s">
        <v>111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5" t="s">
        <v>109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5" t="s">
        <v>111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5" t="s">
        <v>117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5" t="s">
        <v>116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5" t="s">
        <v>109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5" t="s">
        <v>110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5" t="s">
        <v>115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5" t="s">
        <v>116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5" t="s">
        <v>112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5" t="s">
        <v>111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5" t="s">
        <v>117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5" t="s">
        <v>112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5" t="s">
        <v>111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5" t="s">
        <v>112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5" t="s">
        <v>112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5" t="s">
        <v>116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5" t="s">
        <v>110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5" t="s">
        <v>109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5" t="s">
        <v>111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5" t="s">
        <v>109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5" t="s">
        <v>112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5" t="s">
        <v>112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5" t="s">
        <v>110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5" t="s">
        <v>109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5" t="s">
        <v>110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5" t="s">
        <v>113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5" t="s">
        <v>109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5" t="s">
        <v>109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5" t="s">
        <v>112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5" t="s">
        <v>112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5" t="s">
        <v>110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5" t="s">
        <v>116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5" t="s">
        <v>112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5" t="s">
        <v>112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5" t="s">
        <v>117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5" t="s">
        <v>112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5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5" t="s">
        <v>110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5" t="s">
        <v>111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5" t="s">
        <v>116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5" t="s">
        <v>112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5" t="s">
        <v>111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5" t="s">
        <v>112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5" t="s">
        <v>110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5" t="s">
        <v>115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5" t="s">
        <v>111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5" t="s">
        <v>116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5" t="s">
        <v>121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5" t="s">
        <v>121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5" t="s">
        <v>111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5" t="s">
        <v>121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5" t="s">
        <v>110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5" t="s">
        <v>111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5" t="s">
        <v>110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5" t="s">
        <v>115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5" t="s">
        <v>121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5" t="s">
        <v>112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5" t="s">
        <v>110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5" t="s">
        <v>121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5" t="s">
        <v>110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5" t="s">
        <v>122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5" t="s">
        <v>112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5" t="s">
        <v>109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5" t="s">
        <v>121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5" t="s">
        <v>110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5" t="s">
        <v>110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5" t="s">
        <v>122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activeCell="D15" sqref="D15"/>
    </sheetView>
  </sheetViews>
  <sheetFormatPr defaultRowHeight="15"/>
  <cols>
    <col min="1" max="4" width="16" style="20" customWidth="1"/>
  </cols>
  <sheetData>
    <row r="1" spans="1:3">
      <c r="A1" s="6" t="s">
        <v>105</v>
      </c>
      <c r="B1" s="7" t="s">
        <v>108</v>
      </c>
      <c r="C1" s="6" t="s">
        <v>1</v>
      </c>
    </row>
    <row r="2" spans="1:3">
      <c r="A2" t="s">
        <v>33</v>
      </c>
      <c r="B2" s="5" t="s">
        <v>130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s="5" t="s">
        <v>131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s="5" t="s">
        <v>132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5" t="s">
        <v>131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5" t="s">
        <v>133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5" t="s">
        <v>134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5" t="s">
        <v>133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5" t="s">
        <v>135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5" t="s">
        <v>136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5" t="s">
        <v>130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5" t="s">
        <v>132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5" t="s">
        <v>137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5" t="s">
        <v>138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5" t="s">
        <v>139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5" t="s">
        <v>140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5" t="s">
        <v>141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5" t="s">
        <v>134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5" t="s">
        <v>131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5" t="s">
        <v>142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5" t="s">
        <v>137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5" t="s">
        <v>143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5" t="s">
        <v>135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5" t="s">
        <v>135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5" t="s">
        <v>133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5" t="s">
        <v>141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5" t="s">
        <v>130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5" t="s">
        <v>143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5" t="s">
        <v>144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5" t="s">
        <v>131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5" t="s">
        <v>143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5" t="s">
        <v>138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5" t="s">
        <v>141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5" t="s">
        <v>141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5" t="s">
        <v>134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5" t="s">
        <v>137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5" t="s">
        <v>135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5" t="s">
        <v>137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5" t="s">
        <v>139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5" t="s">
        <v>144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5" t="s">
        <v>135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5" t="s">
        <v>139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5" t="s">
        <v>137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5" t="s">
        <v>143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5" t="s">
        <v>131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5" t="s">
        <v>137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5" t="s">
        <v>142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5" t="s">
        <v>145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5" t="s">
        <v>144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5" t="s">
        <v>143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5" t="s">
        <v>143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5" t="s">
        <v>141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5" t="s">
        <v>131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5" t="s">
        <v>141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5" t="s">
        <v>139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5" t="s">
        <v>135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5" t="s">
        <v>145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5" t="s">
        <v>141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5" t="s">
        <v>145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5" t="s">
        <v>132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5" t="s">
        <v>141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5" t="s">
        <v>131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5" t="s">
        <v>143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5" t="s">
        <v>135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5" t="s">
        <v>141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5" t="s">
        <v>143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5" t="s">
        <v>131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5" t="s">
        <v>145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5" t="s">
        <v>137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5" t="s">
        <v>141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5" t="s">
        <v>143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5" t="s">
        <v>141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5" t="s">
        <v>146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C73"/>
    </sheetView>
  </sheetViews>
  <sheetFormatPr defaultRowHeight="15"/>
  <cols>
    <col min="1" max="4" width="16" style="20" customWidth="1"/>
  </cols>
  <sheetData>
    <row r="1" spans="1:3">
      <c r="A1" s="17" t="s">
        <v>105</v>
      </c>
      <c r="B1" s="18" t="s">
        <v>108</v>
      </c>
      <c r="C1" s="17" t="s">
        <v>1</v>
      </c>
    </row>
    <row r="2" spans="1:3">
      <c r="A2" t="s">
        <v>33</v>
      </c>
      <c r="B2" t="s">
        <v>118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t="s">
        <v>119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t="s">
        <v>109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t="s">
        <v>111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t="s">
        <v>122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t="s">
        <v>147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t="s">
        <v>122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t="s">
        <v>111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t="s">
        <v>147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t="s">
        <v>112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t="s">
        <v>122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t="s">
        <v>116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t="s">
        <v>113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t="s">
        <v>116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t="s">
        <v>122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t="s">
        <v>117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t="s">
        <v>109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t="s">
        <v>122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t="s">
        <v>116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t="s">
        <v>112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t="s">
        <v>113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t="s">
        <v>110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t="s">
        <v>111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t="s">
        <v>122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t="s">
        <v>112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t="s">
        <v>115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t="s">
        <v>115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t="s">
        <v>109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t="s">
        <v>117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t="s">
        <v>112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t="s">
        <v>147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t="s">
        <v>109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t="s">
        <v>109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t="s">
        <v>113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t="s">
        <v>116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t="s">
        <v>111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t="s">
        <v>116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t="s">
        <v>112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t="s">
        <v>112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t="s">
        <v>112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t="s">
        <v>109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t="s">
        <v>118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t="s">
        <v>117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t="s">
        <v>116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t="s">
        <v>113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t="s">
        <v>119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t="s">
        <v>112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t="s">
        <v>110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t="s">
        <v>115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t="s">
        <v>111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t="s">
        <v>115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t="s">
        <v>121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t="s">
        <v>111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t="s">
        <v>117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t="s">
        <v>121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t="s">
        <v>117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t="s">
        <v>111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t="s">
        <v>112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t="s">
        <v>115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t="s">
        <v>121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t="s">
        <v>112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t="s">
        <v>117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t="s">
        <v>121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t="s">
        <v>115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t="s">
        <v>117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t="s">
        <v>119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t="s">
        <v>112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t="s">
        <v>127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t="s">
        <v>111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t="s">
        <v>111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t="s">
        <v>122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activeCell="K40" sqref="K40"/>
    </sheetView>
  </sheetViews>
  <sheetFormatPr defaultRowHeight="15"/>
  <cols>
    <col min="1" max="4" width="16" style="20" customWidth="1"/>
  </cols>
  <sheetData>
    <row r="1" spans="1:3">
      <c r="A1" s="6" t="s">
        <v>105</v>
      </c>
      <c r="B1" s="7" t="s">
        <v>108</v>
      </c>
      <c r="C1" s="6" t="s">
        <v>1</v>
      </c>
    </row>
    <row r="2" spans="1:3">
      <c r="A2" t="s">
        <v>33</v>
      </c>
      <c r="B2" s="5" t="s">
        <v>116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s="5" t="s">
        <v>109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3</v>
      </c>
    </row>
    <row r="4" spans="1:3">
      <c r="A4" t="s">
        <v>35</v>
      </c>
      <c r="B4" s="5" t="s">
        <v>116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5" t="s">
        <v>115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5" t="s">
        <v>116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5" t="s">
        <v>124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5" t="s">
        <v>112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5" t="s">
        <v>115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5" t="s">
        <v>113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5" t="s">
        <v>115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5" t="s">
        <v>112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5" t="s">
        <v>120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5" t="s">
        <v>113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5" t="s">
        <v>109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5" t="s">
        <v>110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5" t="s">
        <v>115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5" t="s">
        <v>116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5" t="s">
        <v>112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5" t="s">
        <v>118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5" t="s">
        <v>115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5" t="s">
        <v>116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5" t="s">
        <v>110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5" t="s">
        <v>115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5" t="s">
        <v>115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5" t="s">
        <v>112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5" t="s">
        <v>116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5" t="s">
        <v>112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5" t="s">
        <v>109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5" t="s">
        <v>114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5" t="s">
        <v>109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5" t="s">
        <v>147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5" t="s">
        <v>115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5" t="s">
        <v>112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5" t="s">
        <v>116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5" t="s">
        <v>112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5" t="s">
        <v>115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5" t="s">
        <v>116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5" t="s">
        <v>109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5" t="s">
        <v>110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5" t="s">
        <v>111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5" t="s">
        <v>118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5" t="s">
        <v>113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5" t="s">
        <v>114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5" t="s">
        <v>117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5" t="s">
        <v>116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5" t="s">
        <v>121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5" t="s">
        <v>118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5" t="s">
        <v>120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5" t="s">
        <v>115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5" t="s">
        <v>121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5" t="s">
        <v>118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5" t="s">
        <v>112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5" t="s">
        <v>111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5" t="s">
        <v>109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5" t="s">
        <v>117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5" t="s">
        <v>127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5" t="s">
        <v>112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5" t="s">
        <v>112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5" t="s">
        <v>121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5" t="s">
        <v>110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5" t="s">
        <v>119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5" t="s">
        <v>115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5" t="s">
        <v>117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5" t="s">
        <v>116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5" t="s">
        <v>109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5" t="s">
        <v>111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5" t="s">
        <v>122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5" t="s">
        <v>112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5" t="s">
        <v>112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5" t="s">
        <v>117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5" t="s">
        <v>120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5" t="s">
        <v>111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C73"/>
    </sheetView>
  </sheetViews>
  <sheetFormatPr defaultRowHeight="15"/>
  <cols>
    <col min="1" max="4" width="16" style="20" customWidth="1"/>
  </cols>
  <sheetData>
    <row r="1" spans="1:3">
      <c r="A1" s="6" t="s">
        <v>105</v>
      </c>
      <c r="B1" s="7" t="s">
        <v>108</v>
      </c>
      <c r="C1" s="6" t="s">
        <v>1</v>
      </c>
    </row>
    <row r="2" spans="1:3">
      <c r="A2" t="s">
        <v>33</v>
      </c>
      <c r="B2" t="s">
        <v>112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3</v>
      </c>
    </row>
    <row r="3" spans="1:3">
      <c r="A3" t="s">
        <v>34</v>
      </c>
      <c r="B3" t="s">
        <v>121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t="s">
        <v>110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t="s">
        <v>114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t="s">
        <v>111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t="s">
        <v>112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t="s">
        <v>122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t="s">
        <v>110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t="s">
        <v>147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t="s">
        <v>109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t="s">
        <v>109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t="s">
        <v>112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t="s">
        <v>125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t="s">
        <v>112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t="s">
        <v>122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t="s">
        <v>121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t="s">
        <v>109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t="s">
        <v>111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t="s">
        <v>118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t="s">
        <v>112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t="s">
        <v>118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t="s">
        <v>109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t="s">
        <v>112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t="s">
        <v>119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t="s">
        <v>109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t="s">
        <v>109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t="s">
        <v>110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t="s">
        <v>109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t="s">
        <v>109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t="s">
        <v>111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t="s">
        <v>113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t="s">
        <v>114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t="s">
        <v>109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t="s">
        <v>118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t="s">
        <v>109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t="s">
        <v>121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t="s">
        <v>118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t="s">
        <v>112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t="s">
        <v>128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t="s">
        <v>110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t="s">
        <v>112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t="s">
        <v>114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t="s">
        <v>111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t="s">
        <v>116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t="s">
        <v>114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t="s">
        <v>121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t="s">
        <v>118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t="s">
        <v>110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t="s">
        <v>110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t="s">
        <v>111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t="s">
        <v>116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t="s">
        <v>119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t="s">
        <v>110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t="s">
        <v>111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t="s">
        <v>119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t="s">
        <v>110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t="s">
        <v>121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t="s">
        <v>121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t="s">
        <v>110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t="s">
        <v>111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t="s">
        <v>112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t="s">
        <v>121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t="s">
        <v>110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t="s">
        <v>117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t="s">
        <v>111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t="s">
        <v>122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t="s">
        <v>110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t="s">
        <v>110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t="s">
        <v>110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t="s">
        <v>110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t="s">
        <v>122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C73"/>
    </sheetView>
  </sheetViews>
  <sheetFormatPr defaultRowHeight="15"/>
  <cols>
    <col min="1" max="4" width="16" style="20" customWidth="1"/>
  </cols>
  <sheetData>
    <row r="1" spans="1:3">
      <c r="A1" s="17" t="s">
        <v>105</v>
      </c>
      <c r="B1" s="18" t="s">
        <v>108</v>
      </c>
      <c r="C1" s="17" t="s">
        <v>1</v>
      </c>
    </row>
    <row r="2" spans="1:3">
      <c r="A2" t="s">
        <v>33</v>
      </c>
      <c r="B2" s="5" t="s">
        <v>130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s="5" t="s">
        <v>135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s="5" t="s">
        <v>143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5" t="s">
        <v>130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5" t="s">
        <v>140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5" t="s">
        <v>130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5" t="s">
        <v>140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5" t="s">
        <v>141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5" t="s">
        <v>138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5" t="s">
        <v>130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5" t="s">
        <v>135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5" t="s">
        <v>139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5" t="s">
        <v>137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5" t="s">
        <v>130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5" t="s">
        <v>140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5" t="s">
        <v>143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5" t="s">
        <v>144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5" t="s">
        <v>133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5" t="s">
        <v>139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5" t="s">
        <v>139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5" t="s">
        <v>134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5" t="s">
        <v>130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5" t="s">
        <v>135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5" t="s">
        <v>140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5" t="s">
        <v>130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5" t="s">
        <v>130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5" t="s">
        <v>137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5" t="s">
        <v>143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5" t="s">
        <v>130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5" t="s">
        <v>141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5" t="s">
        <v>137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5" t="s">
        <v>130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5" t="s">
        <v>130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5" t="s">
        <v>137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5" t="s">
        <v>139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5" t="s">
        <v>131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5" t="s">
        <v>137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5" t="s">
        <v>139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5" t="s">
        <v>137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5" t="s">
        <v>131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5" t="s">
        <v>139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5" t="s">
        <v>137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5" t="s">
        <v>135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5" t="s">
        <v>140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5" t="s">
        <v>137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5" t="s">
        <v>137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5" t="s">
        <v>133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5" t="s">
        <v>135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5" t="s">
        <v>143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5" t="s">
        <v>130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5" t="s">
        <v>133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5" t="s">
        <v>139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5" t="s">
        <v>135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5" t="s">
        <v>131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5" t="s">
        <v>140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5" t="s">
        <v>130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5" t="s">
        <v>135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5" t="s">
        <v>139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5" t="s">
        <v>130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5" t="s">
        <v>135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5" t="s">
        <v>140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5" t="s">
        <v>139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5" t="s">
        <v>135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5" t="s">
        <v>141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5" t="s">
        <v>135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5" t="s">
        <v>133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5" t="s">
        <v>133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5" t="s">
        <v>130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5" t="s">
        <v>141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5" t="s">
        <v>135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5" t="s">
        <v>130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5" t="s">
        <v>140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C73"/>
    </sheetView>
  </sheetViews>
  <sheetFormatPr defaultRowHeight="15"/>
  <cols>
    <col min="1" max="4" width="16" style="20" customWidth="1"/>
  </cols>
  <sheetData>
    <row r="1" spans="1:3">
      <c r="A1" s="17" t="s">
        <v>105</v>
      </c>
      <c r="B1" s="18" t="s">
        <v>108</v>
      </c>
      <c r="C1" s="17" t="s">
        <v>1</v>
      </c>
    </row>
    <row r="2" spans="1:3">
      <c r="A2" t="s">
        <v>33</v>
      </c>
      <c r="B2" t="s">
        <v>110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0</v>
      </c>
    </row>
    <row r="3" spans="1:3">
      <c r="A3" t="s">
        <v>34</v>
      </c>
      <c r="B3" t="s">
        <v>114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t="s">
        <v>118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t="s">
        <v>115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t="s">
        <v>119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t="s">
        <v>118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t="s">
        <v>121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t="s">
        <v>119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t="s">
        <v>112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t="s">
        <v>114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t="s">
        <v>120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t="s">
        <v>109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t="s">
        <v>113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t="s">
        <v>112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t="s">
        <v>117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t="s">
        <v>115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t="s">
        <v>118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t="s">
        <v>117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t="s">
        <v>118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t="s">
        <v>112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t="s">
        <v>116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t="s">
        <v>114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t="s">
        <v>110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t="s">
        <v>119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t="s">
        <v>111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t="s">
        <v>118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t="s">
        <v>118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t="s">
        <v>114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t="s">
        <v>115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t="s">
        <v>114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t="s">
        <v>112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t="s">
        <v>109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t="s">
        <v>114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t="s">
        <v>116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t="s">
        <v>115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t="s">
        <v>117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t="s">
        <v>116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t="s">
        <v>114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t="s">
        <v>109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t="s">
        <v>121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t="s">
        <v>118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t="s">
        <v>118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t="s">
        <v>110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t="s">
        <v>121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t="s">
        <v>116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t="s">
        <v>109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t="s">
        <v>119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t="s">
        <v>115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t="s">
        <v>109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t="s">
        <v>115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t="s">
        <v>122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t="s">
        <v>112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t="s">
        <v>111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t="s">
        <v>114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t="s">
        <v>121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t="s">
        <v>122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t="s">
        <v>118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t="s">
        <v>114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t="s">
        <v>109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t="s">
        <v>109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t="s">
        <v>111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t="s">
        <v>110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t="s">
        <v>117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t="s">
        <v>122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t="s">
        <v>120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t="s">
        <v>122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t="s">
        <v>126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t="s">
        <v>118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t="s">
        <v>121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t="s">
        <v>110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t="s">
        <v>111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t="s">
        <v>119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C73"/>
    </sheetView>
  </sheetViews>
  <sheetFormatPr defaultRowHeight="15"/>
  <cols>
    <col min="1" max="4" width="16" style="20" customWidth="1"/>
  </cols>
  <sheetData>
    <row r="1" spans="1:3">
      <c r="A1" s="17" t="s">
        <v>105</v>
      </c>
      <c r="B1" s="18" t="s">
        <v>108</v>
      </c>
      <c r="C1" s="17" t="s">
        <v>1</v>
      </c>
    </row>
    <row r="2" spans="1:3">
      <c r="A2" t="s">
        <v>33</v>
      </c>
      <c r="B2" s="19" t="s">
        <v>109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s="19" t="s">
        <v>111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s="19" t="s">
        <v>122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19" t="s">
        <v>112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19" t="s">
        <v>121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19" t="s">
        <v>118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19" t="s">
        <v>111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19" t="s">
        <v>122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19" t="s">
        <v>116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19" t="s">
        <v>148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19" t="s">
        <v>114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19" t="s">
        <v>127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19" t="s">
        <v>113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19" t="s">
        <v>113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19" t="s">
        <v>118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19" t="s">
        <v>122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19" t="s">
        <v>118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19" t="s">
        <v>111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19" t="s">
        <v>116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19" t="s">
        <v>110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19" t="s">
        <v>113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19" t="s">
        <v>114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19" t="s">
        <v>110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19" t="s">
        <v>117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19" t="s">
        <v>109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19" t="s">
        <v>119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19" t="s">
        <v>121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19" t="s">
        <v>127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19" t="s">
        <v>121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19" t="s">
        <v>116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19" t="s">
        <v>116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19" t="s">
        <v>112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19" t="s">
        <v>118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19" t="s">
        <v>113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19" t="s">
        <v>109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19" t="s">
        <v>111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19" t="s">
        <v>118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19" t="s">
        <v>112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19" t="s">
        <v>112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19" t="s">
        <v>111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19" t="s">
        <v>118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19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19" t="s">
        <v>111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19" t="s">
        <v>110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19" t="s">
        <v>118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19" t="s">
        <v>116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19" t="s">
        <v>122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19" t="s">
        <v>110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19" t="s">
        <v>118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19" t="s">
        <v>114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19" t="s">
        <v>111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19" t="s">
        <v>120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19" t="s">
        <v>121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19" t="s">
        <v>110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19" t="s">
        <v>110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19" t="s">
        <v>126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19" t="s">
        <v>114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19" t="s">
        <v>111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19" t="s">
        <v>112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19" t="s">
        <v>111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19" t="s">
        <v>122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19" t="s">
        <v>118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19" t="s">
        <v>111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19" t="s">
        <v>111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19" t="s">
        <v>110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19" t="s">
        <v>111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19" t="s">
        <v>122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19" t="s">
        <v>118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19" t="s">
        <v>119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19" t="s">
        <v>120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19" t="s">
        <v>110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19" t="s">
        <v>126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B73"/>
    </sheetView>
  </sheetViews>
  <sheetFormatPr defaultRowHeight="15"/>
  <cols>
    <col min="1" max="4" width="16" style="20" customWidth="1"/>
  </cols>
  <sheetData>
    <row r="1" spans="1:3">
      <c r="A1" s="6" t="s">
        <v>105</v>
      </c>
      <c r="B1" s="7" t="s">
        <v>108</v>
      </c>
      <c r="C1" s="17" t="s">
        <v>1</v>
      </c>
    </row>
    <row r="2" spans="1:3">
      <c r="A2" t="s">
        <v>33</v>
      </c>
      <c r="B2" t="s">
        <v>112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3</v>
      </c>
    </row>
    <row r="3" spans="1:3">
      <c r="A3" t="s">
        <v>34</v>
      </c>
      <c r="B3" t="s">
        <v>110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t="s">
        <v>110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t="s">
        <v>115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t="s">
        <v>111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t="s">
        <v>118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t="s">
        <v>117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t="s">
        <v>121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t="s">
        <v>147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t="s">
        <v>109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t="s">
        <v>110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t="s">
        <v>112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t="s">
        <v>118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t="s">
        <v>110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t="s">
        <v>117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t="s">
        <v>112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t="s">
        <v>118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t="s">
        <v>111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t="s">
        <v>118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t="s">
        <v>112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t="s">
        <v>118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t="s">
        <v>109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t="s">
        <v>112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t="s">
        <v>111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t="s">
        <v>115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t="s">
        <v>110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t="s">
        <v>115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t="s">
        <v>110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t="s">
        <v>109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t="s">
        <v>110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t="s">
        <v>113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t="s">
        <v>110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t="s">
        <v>115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t="s">
        <v>114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t="s">
        <v>112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t="s">
        <v>110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t="s">
        <v>118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t="s">
        <v>115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t="s">
        <v>112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t="s">
        <v>117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t="s">
        <v>110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t="s">
        <v>110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t="s">
        <v>120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t="s">
        <v>112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t="s">
        <v>112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t="s">
        <v>111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t="s">
        <v>112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t="s">
        <v>110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t="s">
        <v>112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t="s">
        <v>121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t="s">
        <v>112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t="s">
        <v>120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t="s">
        <v>117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t="s">
        <v>111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t="s">
        <v>110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t="s">
        <v>120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t="s">
        <v>111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t="s">
        <v>114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t="s">
        <v>110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t="s">
        <v>121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t="s">
        <v>112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t="s">
        <v>120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t="s">
        <v>109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t="s">
        <v>110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t="s">
        <v>111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t="s">
        <v>122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t="s">
        <v>110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t="s">
        <v>114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t="s">
        <v>110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t="s">
        <v>117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t="s">
        <v>111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D74"/>
    </sheetView>
  </sheetViews>
  <sheetFormatPr defaultRowHeight="15"/>
  <cols>
    <col min="1" max="4" width="16" style="20" customWidth="1"/>
  </cols>
  <sheetData>
    <row r="1" spans="1:3">
      <c r="A1" s="6" t="s">
        <v>105</v>
      </c>
      <c r="B1" s="7" t="s">
        <v>108</v>
      </c>
      <c r="C1" s="6" t="s">
        <v>1</v>
      </c>
    </row>
    <row r="2" spans="1:3">
      <c r="A2" t="s">
        <v>33</v>
      </c>
      <c r="B2" t="s">
        <v>112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3</v>
      </c>
    </row>
    <row r="3" spans="1:3">
      <c r="A3" t="s">
        <v>34</v>
      </c>
      <c r="B3" t="s">
        <v>110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t="s">
        <v>109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t="s">
        <v>109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t="s">
        <v>111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t="s">
        <v>109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t="s">
        <v>111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t="s">
        <v>110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t="s">
        <v>113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t="s">
        <v>109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t="s">
        <v>110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t="s">
        <v>112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t="s">
        <v>116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t="s">
        <v>109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t="s">
        <v>111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t="s">
        <v>112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t="s">
        <v>118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t="s">
        <v>121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t="s">
        <v>116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t="s">
        <v>112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t="s">
        <v>116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t="s">
        <v>109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t="s">
        <v>109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t="s">
        <v>111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t="s">
        <v>112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t="s">
        <v>109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t="s">
        <v>112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t="s">
        <v>110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t="s">
        <v>112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t="s">
        <v>110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t="s">
        <v>113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t="s">
        <v>110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t="s">
        <v>109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t="s">
        <v>112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t="s">
        <v>112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t="s">
        <v>110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t="s">
        <v>116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t="s">
        <v>118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t="s">
        <v>112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t="s">
        <v>117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t="s">
        <v>112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t="s">
        <v>110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t="s">
        <v>111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t="s">
        <v>116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t="s">
        <v>109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t="s">
        <v>111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t="s">
        <v>116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t="s">
        <v>110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t="s">
        <v>109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t="s">
        <v>119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t="s">
        <v>112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t="s">
        <v>110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t="s">
        <v>111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t="s">
        <v>111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t="s">
        <v>121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t="s">
        <v>110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t="s">
        <v>111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t="s">
        <v>121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t="s">
        <v>110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t="s">
        <v>121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t="s">
        <v>112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t="s">
        <v>110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t="s">
        <v>121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t="s">
        <v>110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t="s">
        <v>122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t="s">
        <v>122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t="s">
        <v>109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t="s">
        <v>121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t="s">
        <v>117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t="s">
        <v>110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t="s">
        <v>122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B74" s="5"/>
      <c r="C74" t="s">
        <v>123</v>
      </c>
      <c r="D74">
        <f>SUM(C2:C73)</f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activeCell="N25" sqref="N25"/>
    </sheetView>
  </sheetViews>
  <sheetFormatPr defaultRowHeight="15"/>
  <cols>
    <col min="1" max="4" width="16" style="20" customWidth="1"/>
  </cols>
  <sheetData>
    <row r="1" spans="1:3">
      <c r="A1" s="6" t="s">
        <v>105</v>
      </c>
      <c r="B1" s="7" t="s">
        <v>108</v>
      </c>
      <c r="C1" s="6" t="s">
        <v>1</v>
      </c>
    </row>
    <row r="2" spans="1:3">
      <c r="A2" t="s">
        <v>33</v>
      </c>
      <c r="B2" s="21" t="s">
        <v>109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s="21" t="s">
        <v>110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s="21" t="s">
        <v>110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21" t="s">
        <v>112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21" t="s">
        <v>111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21" t="s">
        <v>118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21" t="s">
        <v>111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21" t="s">
        <v>110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21" t="s">
        <v>113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21" t="s">
        <v>109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21" t="s">
        <v>109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21" t="s">
        <v>112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21" t="s">
        <v>113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21" t="s">
        <v>112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21" t="s">
        <v>111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21" t="s">
        <v>109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21" t="s">
        <v>109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21" t="s">
        <v>121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21" t="s">
        <v>116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21" t="s">
        <v>112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21" t="s">
        <v>116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21" t="s">
        <v>109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21" t="s">
        <v>109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21" t="s">
        <v>121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21" t="s">
        <v>112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21" t="s">
        <v>109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21" t="s">
        <v>109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21" t="s">
        <v>109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21" t="s">
        <v>109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21" t="s">
        <v>110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21" t="s">
        <v>113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21" t="s">
        <v>109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21" t="s">
        <v>109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21" t="s">
        <v>118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21" t="s">
        <v>112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21" t="s">
        <v>110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21" t="s">
        <v>116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21" t="s">
        <v>109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21" t="s">
        <v>116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21" t="s">
        <v>117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21" t="s">
        <v>112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21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21" t="s">
        <v>110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21" t="s">
        <v>117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21" t="s">
        <v>118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21" t="s">
        <v>118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21" t="s">
        <v>121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21" t="s">
        <v>109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21" t="s">
        <v>109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21" t="s">
        <v>112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21" t="s">
        <v>122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21" t="s">
        <v>112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21" t="s">
        <v>112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21" t="s">
        <v>110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21" t="s">
        <v>111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21" t="s">
        <v>119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21" t="s">
        <v>110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21" t="s">
        <v>111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21" t="s">
        <v>121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21" t="s">
        <v>110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21" t="s">
        <v>119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21" t="s">
        <v>112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21" t="s">
        <v>117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21" t="s">
        <v>121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21" t="s">
        <v>110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21" t="s">
        <v>111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21" t="s">
        <v>122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21" t="s">
        <v>109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21" t="s">
        <v>110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21" t="s">
        <v>110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21" t="s">
        <v>110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21" t="s">
        <v>122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B74" s="5"/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XFD1048576"/>
    </sheetView>
  </sheetViews>
  <sheetFormatPr defaultRowHeight="15"/>
  <cols>
    <col min="1" max="1" width="31.7109375" style="20" customWidth="1"/>
    <col min="2" max="2" width="16" style="5" customWidth="1"/>
    <col min="3" max="4" width="16" style="20" customWidth="1"/>
    <col min="5" max="7" width="9.140625" style="20" customWidth="1"/>
    <col min="8" max="16384" width="9.140625" style="20"/>
  </cols>
  <sheetData>
    <row r="1" spans="1:3">
      <c r="A1" s="17" t="s">
        <v>105</v>
      </c>
      <c r="B1" s="18" t="s">
        <v>108</v>
      </c>
      <c r="C1" s="17" t="s">
        <v>1</v>
      </c>
    </row>
    <row r="2" spans="1:3">
      <c r="A2" t="s">
        <v>33</v>
      </c>
      <c r="B2" s="5" t="s">
        <v>124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s="5" t="s">
        <v>114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s="5" t="s">
        <v>117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5" t="s">
        <v>109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5" t="s">
        <v>124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5" t="s">
        <v>113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5" t="s">
        <v>122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5" t="s">
        <v>114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5" t="s">
        <v>147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5" t="s">
        <v>118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5" t="s">
        <v>110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5" t="s">
        <v>128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5" t="s">
        <v>149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5" t="s">
        <v>118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5" t="s">
        <v>121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5" t="s">
        <v>114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5" t="s">
        <v>118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5" t="s">
        <v>126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5" t="s">
        <v>128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5" t="s">
        <v>112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5" t="s">
        <v>116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5" t="s">
        <v>114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5" t="s">
        <v>124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5" t="s">
        <v>150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5" t="s">
        <v>118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5" t="s">
        <v>109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5" t="s">
        <v>118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5" t="s">
        <v>151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5" t="s">
        <v>118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5" t="s">
        <v>116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5" t="s">
        <v>113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5" t="s">
        <v>109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5" t="s">
        <v>114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5" t="s">
        <v>149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5" t="s">
        <v>109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5" t="s">
        <v>119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5" t="s">
        <v>129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5" t="s">
        <v>115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5" t="s">
        <v>109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5" t="s">
        <v>115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5" t="s">
        <v>124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5" t="s">
        <v>151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5" t="s">
        <v>116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5" t="s">
        <v>117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5" t="s">
        <v>113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5" t="s">
        <v>118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5" t="s">
        <v>117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5" t="s">
        <v>115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5" t="s">
        <v>110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5" t="s">
        <v>115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5" t="s">
        <v>152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5" t="s">
        <v>115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5" t="s">
        <v>110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5" t="s">
        <v>115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5" t="s">
        <v>121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5" t="s">
        <v>153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5" t="s">
        <v>109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5" t="s">
        <v>121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5" t="s">
        <v>110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5" t="s">
        <v>121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5" t="s">
        <v>154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5" t="s">
        <v>117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5" t="s">
        <v>115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5" t="s">
        <v>154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5" t="s">
        <v>109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5" t="s">
        <v>127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5" t="s">
        <v>121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5" t="s">
        <v>109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5" t="s">
        <v>155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5" t="s">
        <v>121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5" t="s">
        <v>121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5" t="s">
        <v>117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opLeftCell="A18" workbookViewId="0">
      <selection activeCell="O70" sqref="O70"/>
    </sheetView>
  </sheetViews>
  <sheetFormatPr defaultRowHeight="15"/>
  <cols>
    <col min="1" max="4" width="16" style="20" customWidth="1"/>
  </cols>
  <sheetData>
    <row r="1" spans="1:4">
      <c r="A1" s="22" t="s">
        <v>105</v>
      </c>
      <c r="B1" s="23" t="s">
        <v>108</v>
      </c>
      <c r="C1" s="22" t="s">
        <v>1</v>
      </c>
      <c r="D1" s="24"/>
    </row>
    <row r="2" spans="1:4">
      <c r="A2" s="24" t="s">
        <v>33</v>
      </c>
      <c r="B2" s="25" t="s">
        <v>112</v>
      </c>
      <c r="C2" s="24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3</v>
      </c>
      <c r="D2" s="24"/>
    </row>
    <row r="3" spans="1:4">
      <c r="A3" s="24" t="s">
        <v>34</v>
      </c>
      <c r="B3" s="25" t="s">
        <v>110</v>
      </c>
      <c r="C3" s="24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  <c r="D3" s="24"/>
    </row>
    <row r="4" spans="1:4">
      <c r="A4" s="24" t="s">
        <v>35</v>
      </c>
      <c r="B4" s="25" t="s">
        <v>117</v>
      </c>
      <c r="C4" s="2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  <c r="D4" s="24"/>
    </row>
    <row r="5" spans="1:4">
      <c r="A5" s="24" t="s">
        <v>36</v>
      </c>
      <c r="B5" s="25" t="s">
        <v>121</v>
      </c>
      <c r="C5" s="24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  <c r="D5" s="24"/>
    </row>
    <row r="6" spans="1:4">
      <c r="A6" s="24" t="s">
        <v>37</v>
      </c>
      <c r="B6" s="25" t="s">
        <v>111</v>
      </c>
      <c r="C6" s="24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  <c r="D6" s="24"/>
    </row>
    <row r="7" spans="1:4">
      <c r="A7" s="24" t="s">
        <v>38</v>
      </c>
      <c r="B7" s="25" t="s">
        <v>110</v>
      </c>
      <c r="C7" s="24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  <c r="D7" s="24"/>
    </row>
    <row r="8" spans="1:4">
      <c r="A8" s="24" t="s">
        <v>39</v>
      </c>
      <c r="B8" s="25" t="s">
        <v>111</v>
      </c>
      <c r="C8" s="24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  <c r="D8" s="24"/>
    </row>
    <row r="9" spans="1:4">
      <c r="A9" s="24" t="s">
        <v>40</v>
      </c>
      <c r="B9" s="25" t="s">
        <v>117</v>
      </c>
      <c r="C9" s="24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  <c r="D9" s="24"/>
    </row>
    <row r="10" spans="1:4">
      <c r="A10" s="24" t="s">
        <v>41</v>
      </c>
      <c r="B10" s="25" t="s">
        <v>116</v>
      </c>
      <c r="C10" s="24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  <c r="D10" s="24"/>
    </row>
    <row r="11" spans="1:4">
      <c r="A11" s="24" t="s">
        <v>42</v>
      </c>
      <c r="B11" s="25" t="s">
        <v>112</v>
      </c>
      <c r="C11" s="24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  <c r="D11" s="24"/>
    </row>
    <row r="12" spans="1:4">
      <c r="A12" s="24" t="s">
        <v>43</v>
      </c>
      <c r="B12" s="25" t="s">
        <v>110</v>
      </c>
      <c r="C12" s="24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  <c r="D12" s="24"/>
    </row>
    <row r="13" spans="1:4">
      <c r="A13" s="24" t="s">
        <v>44</v>
      </c>
      <c r="B13" s="25" t="s">
        <v>109</v>
      </c>
      <c r="C13" s="24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  <c r="D13" s="24"/>
    </row>
    <row r="14" spans="1:4">
      <c r="A14" s="24" t="s">
        <v>45</v>
      </c>
      <c r="B14" s="25" t="s">
        <v>112</v>
      </c>
      <c r="C14" s="2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  <c r="D14" s="24"/>
    </row>
    <row r="15" spans="1:4">
      <c r="A15" s="24" t="s">
        <v>46</v>
      </c>
      <c r="B15" s="25" t="s">
        <v>116</v>
      </c>
      <c r="C15" s="24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  <c r="D15" s="24"/>
    </row>
    <row r="16" spans="1:4">
      <c r="A16" s="24" t="s">
        <v>47</v>
      </c>
      <c r="B16" s="25" t="s">
        <v>121</v>
      </c>
      <c r="C16" s="24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  <c r="D16" s="24"/>
    </row>
    <row r="17" spans="1:4">
      <c r="A17" s="24" t="s">
        <v>48</v>
      </c>
      <c r="B17" s="25" t="s">
        <v>109</v>
      </c>
      <c r="C17" s="24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  <c r="D17" s="24"/>
    </row>
    <row r="18" spans="1:4">
      <c r="A18" s="24" t="s">
        <v>49</v>
      </c>
      <c r="B18" s="25" t="s">
        <v>109</v>
      </c>
      <c r="C18" s="24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  <c r="D18" s="24"/>
    </row>
    <row r="19" spans="1:4">
      <c r="A19" s="24" t="s">
        <v>50</v>
      </c>
      <c r="B19" s="25" t="s">
        <v>111</v>
      </c>
      <c r="C19" s="24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  <c r="D19" s="24"/>
    </row>
    <row r="20" spans="1:4">
      <c r="A20" s="24" t="s">
        <v>51</v>
      </c>
      <c r="B20" s="25" t="s">
        <v>115</v>
      </c>
      <c r="C20" s="24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  <c r="D20" s="24"/>
    </row>
    <row r="21" spans="1:4">
      <c r="A21" s="24" t="s">
        <v>52</v>
      </c>
      <c r="B21" s="25" t="s">
        <v>118</v>
      </c>
      <c r="C21" s="24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  <c r="D21" s="24"/>
    </row>
    <row r="22" spans="1:4">
      <c r="A22" s="24" t="s">
        <v>53</v>
      </c>
      <c r="B22" s="25" t="s">
        <v>116</v>
      </c>
      <c r="C22" s="24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  <c r="D22" s="24"/>
    </row>
    <row r="23" spans="1:4">
      <c r="A23" s="24" t="s">
        <v>54</v>
      </c>
      <c r="B23" s="25" t="s">
        <v>110</v>
      </c>
      <c r="C23" s="24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  <c r="D23" s="24"/>
    </row>
    <row r="24" spans="1:4">
      <c r="A24" s="24" t="s">
        <v>55</v>
      </c>
      <c r="B24" s="25" t="s">
        <v>112</v>
      </c>
      <c r="C24" s="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  <c r="D24" s="24"/>
    </row>
    <row r="25" spans="1:4">
      <c r="A25" s="24" t="s">
        <v>56</v>
      </c>
      <c r="B25" s="25" t="s">
        <v>121</v>
      </c>
      <c r="C25" s="24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  <c r="D25" s="24"/>
    </row>
    <row r="26" spans="1:4">
      <c r="A26" s="24" t="s">
        <v>57</v>
      </c>
      <c r="B26" s="25" t="s">
        <v>112</v>
      </c>
      <c r="C26" s="24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  <c r="D26" s="24"/>
    </row>
    <row r="27" spans="1:4">
      <c r="A27" s="24" t="s">
        <v>58</v>
      </c>
      <c r="B27" s="25" t="s">
        <v>118</v>
      </c>
      <c r="C27" s="24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  <c r="D27" s="24"/>
    </row>
    <row r="28" spans="1:4">
      <c r="A28" s="24" t="s">
        <v>59</v>
      </c>
      <c r="B28" s="25" t="s">
        <v>110</v>
      </c>
      <c r="C28" s="24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  <c r="D28" s="24"/>
    </row>
    <row r="29" spans="1:4">
      <c r="A29" s="24" t="s">
        <v>60</v>
      </c>
      <c r="B29" s="25" t="s">
        <v>109</v>
      </c>
      <c r="C29" s="24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  <c r="D29" s="24"/>
    </row>
    <row r="30" spans="1:4">
      <c r="A30" s="24" t="s">
        <v>61</v>
      </c>
      <c r="B30" s="25" t="s">
        <v>112</v>
      </c>
      <c r="C30" s="24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  <c r="D30" s="24"/>
    </row>
    <row r="31" spans="1:4">
      <c r="A31" s="24" t="s">
        <v>62</v>
      </c>
      <c r="B31" s="25" t="s">
        <v>121</v>
      </c>
      <c r="C31" s="24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  <c r="D31" s="24"/>
    </row>
    <row r="32" spans="1:4">
      <c r="A32" s="24" t="s">
        <v>63</v>
      </c>
      <c r="B32" s="25" t="s">
        <v>116</v>
      </c>
      <c r="C32" s="24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  <c r="D32" s="24"/>
    </row>
    <row r="33" spans="1:4">
      <c r="A33" s="24" t="s">
        <v>64</v>
      </c>
      <c r="B33" s="25" t="s">
        <v>109</v>
      </c>
      <c r="C33" s="24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  <c r="D33" s="24"/>
    </row>
    <row r="34" spans="1:4">
      <c r="A34" s="24" t="s">
        <v>65</v>
      </c>
      <c r="B34" s="25" t="s">
        <v>115</v>
      </c>
      <c r="C34" s="2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  <c r="D34" s="24"/>
    </row>
    <row r="35" spans="1:4">
      <c r="A35" s="24" t="s">
        <v>66</v>
      </c>
      <c r="B35" s="25" t="s">
        <v>112</v>
      </c>
      <c r="C35" s="24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  <c r="D35" s="24"/>
    </row>
    <row r="36" spans="1:4">
      <c r="A36" s="24" t="s">
        <v>67</v>
      </c>
      <c r="B36" s="25" t="s">
        <v>115</v>
      </c>
      <c r="C36" s="24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  <c r="D36" s="24"/>
    </row>
    <row r="37" spans="1:4">
      <c r="A37" s="24" t="s">
        <v>68</v>
      </c>
      <c r="B37" s="25" t="s">
        <v>110</v>
      </c>
      <c r="C37" s="24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  <c r="D37" s="24"/>
    </row>
    <row r="38" spans="1:4">
      <c r="A38" s="24" t="s">
        <v>69</v>
      </c>
      <c r="B38" s="25" t="s">
        <v>118</v>
      </c>
      <c r="C38" s="24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  <c r="D38" s="24"/>
    </row>
    <row r="39" spans="1:4">
      <c r="A39" s="24" t="s">
        <v>70</v>
      </c>
      <c r="B39" s="25" t="s">
        <v>112</v>
      </c>
      <c r="C39" s="24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  <c r="D39" s="24"/>
    </row>
    <row r="40" spans="1:4">
      <c r="A40" s="24" t="s">
        <v>71</v>
      </c>
      <c r="B40" s="25" t="s">
        <v>112</v>
      </c>
      <c r="C40" s="24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  <c r="D40" s="24"/>
    </row>
    <row r="41" spans="1:4">
      <c r="A41" s="24" t="s">
        <v>72</v>
      </c>
      <c r="B41" s="25" t="s">
        <v>127</v>
      </c>
      <c r="C41" s="24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  <c r="D41" s="24"/>
    </row>
    <row r="42" spans="1:4">
      <c r="A42" s="24" t="s">
        <v>73</v>
      </c>
      <c r="B42" s="25" t="s">
        <v>112</v>
      </c>
      <c r="C42" s="24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  <c r="D42" s="24"/>
    </row>
    <row r="43" spans="1:4">
      <c r="A43" s="24" t="s">
        <v>74</v>
      </c>
      <c r="B43" s="25" t="s">
        <v>112</v>
      </c>
      <c r="C43" s="24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  <c r="D43" s="24"/>
    </row>
    <row r="44" spans="1:4">
      <c r="A44" s="24" t="s">
        <v>75</v>
      </c>
      <c r="B44" s="25" t="s">
        <v>109</v>
      </c>
      <c r="C44" s="2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  <c r="D44" s="24"/>
    </row>
    <row r="45" spans="1:4">
      <c r="A45" s="24" t="s">
        <v>76</v>
      </c>
      <c r="B45" s="25" t="s">
        <v>121</v>
      </c>
      <c r="C45" s="24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  <c r="D45" s="24"/>
    </row>
    <row r="46" spans="1:4">
      <c r="A46" s="24" t="s">
        <v>77</v>
      </c>
      <c r="B46" s="25" t="s">
        <v>128</v>
      </c>
      <c r="C46" s="24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  <c r="D46" s="24"/>
    </row>
    <row r="47" spans="1:4">
      <c r="A47" s="24" t="s">
        <v>78</v>
      </c>
      <c r="B47" s="25" t="s">
        <v>109</v>
      </c>
      <c r="C47" s="24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  <c r="D47" s="24"/>
    </row>
    <row r="48" spans="1:4">
      <c r="A48" s="24" t="s">
        <v>79</v>
      </c>
      <c r="B48" s="25" t="s">
        <v>117</v>
      </c>
      <c r="C48" s="24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  <c r="D48" s="24"/>
    </row>
    <row r="49" spans="1:4">
      <c r="A49" s="24" t="s">
        <v>80</v>
      </c>
      <c r="B49" s="25" t="s">
        <v>110</v>
      </c>
      <c r="C49" s="24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  <c r="D49" s="24"/>
    </row>
    <row r="50" spans="1:4">
      <c r="A50" s="24" t="s">
        <v>81</v>
      </c>
      <c r="B50" s="25" t="s">
        <v>110</v>
      </c>
      <c r="C50" s="24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  <c r="D50" s="24"/>
    </row>
    <row r="51" spans="1:4">
      <c r="A51" s="24" t="s">
        <v>82</v>
      </c>
      <c r="B51" s="25" t="s">
        <v>115</v>
      </c>
      <c r="C51" s="24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  <c r="D51" s="24"/>
    </row>
    <row r="52" spans="1:4">
      <c r="A52" s="24" t="s">
        <v>83</v>
      </c>
      <c r="B52" s="25" t="s">
        <v>111</v>
      </c>
      <c r="C52" s="24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  <c r="D52" s="24"/>
    </row>
    <row r="53" spans="1:4">
      <c r="A53" s="24" t="s">
        <v>84</v>
      </c>
      <c r="B53" s="25" t="s">
        <v>128</v>
      </c>
      <c r="C53" s="24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  <c r="D53" s="24"/>
    </row>
    <row r="54" spans="1:4">
      <c r="A54" s="24" t="s">
        <v>85</v>
      </c>
      <c r="B54" s="25" t="s">
        <v>110</v>
      </c>
      <c r="C54" s="2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  <c r="D54" s="24"/>
    </row>
    <row r="55" spans="1:4">
      <c r="A55" s="24" t="s">
        <v>86</v>
      </c>
      <c r="B55" s="25" t="s">
        <v>109</v>
      </c>
      <c r="C55" s="24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  <c r="D55" s="24"/>
    </row>
    <row r="56" spans="1:4">
      <c r="A56" s="24" t="s">
        <v>87</v>
      </c>
      <c r="B56" s="25" t="s">
        <v>119</v>
      </c>
      <c r="C56" s="24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  <c r="D56" s="24"/>
    </row>
    <row r="57" spans="1:4">
      <c r="A57" s="24" t="s">
        <v>88</v>
      </c>
      <c r="B57" s="25" t="s">
        <v>111</v>
      </c>
      <c r="C57" s="24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  <c r="D57" s="24"/>
    </row>
    <row r="58" spans="1:4">
      <c r="A58" s="24" t="s">
        <v>89</v>
      </c>
      <c r="B58" s="25" t="s">
        <v>117</v>
      </c>
      <c r="C58" s="24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  <c r="D58" s="24"/>
    </row>
    <row r="59" spans="1:4">
      <c r="A59" s="24" t="s">
        <v>90</v>
      </c>
      <c r="B59" s="25" t="s">
        <v>121</v>
      </c>
      <c r="C59" s="24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  <c r="D59" s="24"/>
    </row>
    <row r="60" spans="1:4">
      <c r="A60" s="24" t="s">
        <v>91</v>
      </c>
      <c r="B60" s="25" t="s">
        <v>110</v>
      </c>
      <c r="C60" s="24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  <c r="D60" s="24"/>
    </row>
    <row r="61" spans="1:4">
      <c r="A61" s="24" t="s">
        <v>92</v>
      </c>
      <c r="B61" s="25" t="s">
        <v>114</v>
      </c>
      <c r="C61" s="24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  <c r="D61" s="24"/>
    </row>
    <row r="62" spans="1:4">
      <c r="A62" s="24" t="s">
        <v>93</v>
      </c>
      <c r="B62" s="25" t="s">
        <v>110</v>
      </c>
      <c r="C62" s="24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  <c r="D62" s="24"/>
    </row>
    <row r="63" spans="1:4">
      <c r="A63" s="24" t="s">
        <v>94</v>
      </c>
      <c r="B63" s="25" t="s">
        <v>112</v>
      </c>
      <c r="C63" s="24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  <c r="D63" s="24"/>
    </row>
    <row r="64" spans="1:4">
      <c r="A64" s="24" t="s">
        <v>95</v>
      </c>
      <c r="B64" s="25" t="s">
        <v>115</v>
      </c>
      <c r="C64" s="2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  <c r="D64" s="24"/>
    </row>
    <row r="65" spans="1:4">
      <c r="A65" s="24" t="s">
        <v>96</v>
      </c>
      <c r="B65" s="25" t="s">
        <v>110</v>
      </c>
      <c r="C65" s="24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  <c r="D65" s="24"/>
    </row>
    <row r="66" spans="1:4">
      <c r="A66" s="24" t="s">
        <v>97</v>
      </c>
      <c r="B66" s="25" t="s">
        <v>111</v>
      </c>
      <c r="C66" s="24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  <c r="D66" s="24"/>
    </row>
    <row r="67" spans="1:4">
      <c r="A67" s="24" t="s">
        <v>98</v>
      </c>
      <c r="B67" s="25" t="s">
        <v>121</v>
      </c>
      <c r="C67" s="24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  <c r="D67" s="24"/>
    </row>
    <row r="68" spans="1:4">
      <c r="A68" s="24" t="s">
        <v>99</v>
      </c>
      <c r="B68" s="25" t="s">
        <v>111</v>
      </c>
      <c r="C68" s="24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  <c r="D68" s="24"/>
    </row>
    <row r="69" spans="1:4">
      <c r="A69" s="24" t="s">
        <v>100</v>
      </c>
      <c r="B69" s="25" t="s">
        <v>110</v>
      </c>
      <c r="C69" s="24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  <c r="D69" s="24"/>
    </row>
    <row r="70" spans="1:4">
      <c r="A70" s="24" t="s">
        <v>101</v>
      </c>
      <c r="B70" s="25" t="s">
        <v>114</v>
      </c>
      <c r="C70" s="24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  <c r="D70" s="24"/>
    </row>
    <row r="71" spans="1:4">
      <c r="A71" s="24" t="s">
        <v>102</v>
      </c>
      <c r="B71" s="25" t="s">
        <v>109</v>
      </c>
      <c r="C71" s="24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  <c r="D71" s="24"/>
    </row>
    <row r="72" spans="1:4">
      <c r="A72" s="24" t="s">
        <v>103</v>
      </c>
      <c r="B72" s="25" t="s">
        <v>110</v>
      </c>
      <c r="C72" s="24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  <c r="D72" s="24"/>
    </row>
    <row r="73" spans="1:4">
      <c r="A73" s="24" t="s">
        <v>104</v>
      </c>
      <c r="B73" s="25" t="s">
        <v>122</v>
      </c>
      <c r="C73" s="24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  <c r="D73" s="24"/>
    </row>
    <row r="74" spans="1:4">
      <c r="A74" s="24"/>
      <c r="B74" s="25"/>
      <c r="C74" s="24" t="s">
        <v>123</v>
      </c>
      <c r="D74" s="24">
        <f>SUM(C2:C73)</f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activeCell="G8" sqref="G8"/>
    </sheetView>
  </sheetViews>
  <sheetFormatPr defaultRowHeight="15"/>
  <sheetData>
    <row r="1" spans="1:3">
      <c r="A1" s="6" t="s">
        <v>105</v>
      </c>
      <c r="B1" s="7" t="s">
        <v>108</v>
      </c>
      <c r="C1" s="6" t="s">
        <v>1</v>
      </c>
    </row>
    <row r="2" spans="1:3">
      <c r="A2" t="s">
        <v>33</v>
      </c>
      <c r="B2" s="5" t="s">
        <v>139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3</v>
      </c>
    </row>
    <row r="3" spans="1:3">
      <c r="A3" t="s">
        <v>34</v>
      </c>
      <c r="B3" s="5" t="s">
        <v>130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3</v>
      </c>
    </row>
    <row r="4" spans="1:3">
      <c r="A4" t="s">
        <v>35</v>
      </c>
      <c r="B4" s="5" t="s">
        <v>143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5" t="s">
        <v>135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5" t="s">
        <v>133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5" t="s">
        <v>135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5" t="s">
        <v>146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5" t="s">
        <v>146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5" t="s">
        <v>156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5" t="s">
        <v>135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5" t="s">
        <v>130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5" t="s">
        <v>143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5" t="s">
        <v>136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5" t="s">
        <v>139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5" t="s">
        <v>135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5" t="s">
        <v>132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5" t="s">
        <v>137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5" t="s">
        <v>146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5" t="s">
        <v>144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5" t="s">
        <v>139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5" t="s">
        <v>157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5" t="s">
        <v>135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5" t="s">
        <v>139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5" t="s">
        <v>140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5" t="s">
        <v>135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5" t="s">
        <v>139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5" t="s">
        <v>137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5" t="s">
        <v>132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5" t="s">
        <v>143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5" t="s">
        <v>131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5" t="s">
        <v>138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5" t="s">
        <v>139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5" t="s">
        <v>144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5" t="s">
        <v>158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5" t="s">
        <v>137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5" t="s">
        <v>140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5" t="s">
        <v>139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5" t="s">
        <v>144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5" t="s">
        <v>137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5" t="s">
        <v>140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5" t="s">
        <v>139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5" t="s">
        <v>137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5" t="s">
        <v>143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5" t="s">
        <v>132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5" t="s">
        <v>137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5" t="s">
        <v>130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5" t="s">
        <v>133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5" t="s">
        <v>139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5" t="s">
        <v>135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5" t="s">
        <v>143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5" t="s">
        <v>140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5" t="s">
        <v>137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5" t="s">
        <v>135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5" t="s">
        <v>140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5" t="s">
        <v>140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5" t="s">
        <v>141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5" t="s">
        <v>130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5" t="s">
        <v>133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5" t="s">
        <v>143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5" t="s">
        <v>143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5" t="s">
        <v>135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5" t="s">
        <v>130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5" t="s">
        <v>140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5" t="s">
        <v>135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5" t="s">
        <v>139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5" t="s">
        <v>146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5" t="s">
        <v>133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5" t="s">
        <v>135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5" t="s">
        <v>132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5" t="s">
        <v>135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5" t="s">
        <v>131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5" t="s">
        <v>146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B74" s="5"/>
      <c r="C74" t="s">
        <v>123</v>
      </c>
      <c r="D74">
        <f>SUM(C2:C73)</f>
        <v>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sheetData>
    <row r="1" spans="1:1">
      <c r="A1" t="s">
        <v>159</v>
      </c>
    </row>
    <row r="2" spans="1:1">
      <c r="A2" t="s">
        <v>160</v>
      </c>
    </row>
    <row r="3" spans="1:1">
      <c r="A3" t="s">
        <v>161</v>
      </c>
    </row>
    <row r="4" spans="1:1">
      <c r="A4" t="s">
        <v>162</v>
      </c>
    </row>
    <row r="6" spans="1:1">
      <c r="A6" t="s">
        <v>163</v>
      </c>
    </row>
    <row r="7" spans="1:1">
      <c r="A7" t="s">
        <v>164</v>
      </c>
    </row>
    <row r="8" spans="1:1">
      <c r="A8" t="s">
        <v>165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activeCell="H29" sqref="H29"/>
    </sheetView>
  </sheetViews>
  <sheetFormatPr defaultRowHeight="15"/>
  <cols>
    <col min="1" max="4" width="16" style="20" customWidth="1"/>
  </cols>
  <sheetData>
    <row r="1" spans="1:3">
      <c r="A1" s="17" t="s">
        <v>105</v>
      </c>
      <c r="B1" s="18" t="s">
        <v>108</v>
      </c>
      <c r="C1" s="17" t="s">
        <v>1</v>
      </c>
    </row>
    <row r="2" spans="1:3">
      <c r="A2" t="s">
        <v>33</v>
      </c>
      <c r="B2" s="5" t="s">
        <v>116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s="5" t="s">
        <v>121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s="5" t="s">
        <v>112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5" t="s">
        <v>115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5" t="s">
        <v>111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5" t="s">
        <v>112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5" t="s">
        <v>119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5" t="s">
        <v>121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5" t="s">
        <v>116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5" t="s">
        <v>112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5" t="s">
        <v>119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5" t="s">
        <v>112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5" t="s">
        <v>116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5" t="s">
        <v>109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5" t="s">
        <v>112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5" t="s">
        <v>121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5" t="s">
        <v>116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5" t="s">
        <v>111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5" t="s">
        <v>116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5" t="s">
        <v>109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5" t="s">
        <v>116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5" t="s">
        <v>109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5" t="s">
        <v>121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5" t="s">
        <v>122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5" t="s">
        <v>109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5" t="s">
        <v>112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5" t="s">
        <v>109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5" t="s">
        <v>118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5" t="s">
        <v>109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5" t="s">
        <v>121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5" t="s">
        <v>116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5" t="s">
        <v>112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5" t="s">
        <v>118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5" t="s">
        <v>116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5" t="s">
        <v>112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5" t="s">
        <v>121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5" t="s">
        <v>109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5" t="s">
        <v>112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5" t="s">
        <v>112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5" t="s">
        <v>111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5" t="s">
        <v>112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5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5" t="s">
        <v>109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5" t="s">
        <v>127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5" t="s">
        <v>116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5" t="s">
        <v>112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5" t="s">
        <v>121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5" t="s">
        <v>112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5" t="s">
        <v>109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5" t="s">
        <v>121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5" t="s">
        <v>119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5" t="s">
        <v>112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5" t="s">
        <v>109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5" t="s">
        <v>109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5" t="s">
        <v>112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5" t="s">
        <v>119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5" t="s">
        <v>121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5" t="s">
        <v>111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5" t="s">
        <v>121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5" t="s">
        <v>121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5" t="s">
        <v>119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5" t="s">
        <v>109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5" t="s">
        <v>111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5" t="s">
        <v>111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5" t="s">
        <v>112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5" t="s">
        <v>119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5" t="s">
        <v>122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5" t="s">
        <v>112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5" t="s">
        <v>121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5" t="s">
        <v>112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5" t="s">
        <v>111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5" t="s">
        <v>122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B74" s="5"/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activeCell="E11" sqref="E11"/>
    </sheetView>
  </sheetViews>
  <sheetFormatPr defaultRowHeight="15"/>
  <cols>
    <col min="1" max="4" width="16" style="20" customWidth="1"/>
  </cols>
  <sheetData>
    <row r="1" spans="1:3">
      <c r="A1" s="17" t="s">
        <v>105</v>
      </c>
      <c r="B1" s="18" t="s">
        <v>108</v>
      </c>
      <c r="C1" s="17" t="s">
        <v>1</v>
      </c>
    </row>
    <row r="2" spans="1:3">
      <c r="A2" t="s">
        <v>33</v>
      </c>
      <c r="B2" s="5" t="s">
        <v>116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s="5" t="s">
        <v>124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1</v>
      </c>
    </row>
    <row r="4" spans="1:3">
      <c r="A4" t="s">
        <v>35</v>
      </c>
      <c r="B4" s="5" t="s">
        <v>115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5" t="s">
        <v>150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5" t="s">
        <v>151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5" t="s">
        <v>128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5" t="s">
        <v>166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5" t="s">
        <v>167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5" t="s">
        <v>168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5" t="s">
        <v>124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5" t="s">
        <v>169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5" t="s">
        <v>154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5" t="s">
        <v>170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5" t="s">
        <v>124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5" t="s">
        <v>152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5" t="s">
        <v>155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5" t="s">
        <v>150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5" t="s">
        <v>118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5" t="s">
        <v>116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5" t="s">
        <v>153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5" t="s">
        <v>124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5" t="s">
        <v>152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5" t="s">
        <v>124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5" t="s">
        <v>167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5" t="s">
        <v>124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5" t="s">
        <v>171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5" t="s">
        <v>129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5" t="s">
        <v>153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5" t="s">
        <v>154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5" t="s">
        <v>148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5" t="s">
        <v>112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5" t="s">
        <v>150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5" t="s">
        <v>124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5" t="s">
        <v>128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5" t="s">
        <v>121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5" t="s">
        <v>127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5" t="s">
        <v>124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5" t="s">
        <v>112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5" t="s">
        <v>118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5" t="s">
        <v>118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5" t="s">
        <v>124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5" t="s">
        <v>124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5" t="s">
        <v>150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5" t="s">
        <v>129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5" t="s">
        <v>128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5" t="s">
        <v>116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5" t="s">
        <v>167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5" t="s">
        <v>116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5" t="s">
        <v>122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5" t="s">
        <v>150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5" t="s">
        <v>119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5" t="s">
        <v>116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5" t="s">
        <v>124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5" t="s">
        <v>124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5" t="s">
        <v>116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5" t="s">
        <v>114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5" t="s">
        <v>153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5" t="s">
        <v>153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5" t="s">
        <v>110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5" t="s">
        <v>111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5" t="s">
        <v>119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5" t="s">
        <v>118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5" t="s">
        <v>116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5" t="s">
        <v>119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5" t="s">
        <v>114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5" t="s">
        <v>118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5" t="s">
        <v>124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5" t="s">
        <v>118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5" t="s">
        <v>124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5" t="s">
        <v>117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5" t="s">
        <v>116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5" t="s">
        <v>122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C74" t="s">
        <v>123</v>
      </c>
      <c r="D74">
        <f>SUM(C2:C73)</f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D74"/>
    </sheetView>
  </sheetViews>
  <sheetFormatPr defaultRowHeight="15"/>
  <cols>
    <col min="1" max="4" width="16" style="20" customWidth="1"/>
  </cols>
  <sheetData>
    <row r="1" spans="1:3">
      <c r="A1" s="6" t="s">
        <v>105</v>
      </c>
      <c r="B1" s="7" t="s">
        <v>108</v>
      </c>
      <c r="C1" s="6" t="s">
        <v>1</v>
      </c>
    </row>
    <row r="2" spans="1:3">
      <c r="A2" t="s">
        <v>33</v>
      </c>
      <c r="B2" t="s">
        <v>112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3</v>
      </c>
    </row>
    <row r="3" spans="1:3">
      <c r="A3" t="s">
        <v>34</v>
      </c>
      <c r="B3" t="s">
        <v>110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t="s">
        <v>109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t="s">
        <v>120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t="s">
        <v>111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t="s">
        <v>118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t="s">
        <v>110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t="s">
        <v>117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t="s">
        <v>113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t="s">
        <v>116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t="s">
        <v>110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t="s">
        <v>115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t="s">
        <v>147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t="s">
        <v>110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t="s">
        <v>111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t="s">
        <v>118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t="s">
        <v>118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t="s">
        <v>111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t="s">
        <v>112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t="s">
        <v>112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t="s">
        <v>116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t="s">
        <v>120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t="s">
        <v>110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t="s">
        <v>117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t="s">
        <v>120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t="s">
        <v>115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t="s">
        <v>112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t="s">
        <v>115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t="s">
        <v>110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t="s">
        <v>111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t="s">
        <v>172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t="s">
        <v>120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t="s">
        <v>120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t="s">
        <v>112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t="s">
        <v>113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t="s">
        <v>121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t="s">
        <v>116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t="s">
        <v>112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t="s">
        <v>116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t="s">
        <v>111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t="s">
        <v>112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t="s">
        <v>115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t="s">
        <v>117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t="s">
        <v>115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t="s">
        <v>117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t="s">
        <v>111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t="s">
        <v>115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t="s">
        <v>120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t="s">
        <v>120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t="s">
        <v>122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t="s">
        <v>116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t="s">
        <v>117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t="s">
        <v>109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t="s">
        <v>119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t="s">
        <v>111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t="s">
        <v>117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t="s">
        <v>110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t="s">
        <v>112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t="s">
        <v>115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t="s">
        <v>110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t="s">
        <v>112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t="s">
        <v>114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t="s">
        <v>110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t="s">
        <v>115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t="s">
        <v>126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t="s">
        <v>122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t="s">
        <v>112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t="s">
        <v>110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t="s">
        <v>117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t="s">
        <v>120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t="s">
        <v>122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B74" s="5"/>
      <c r="C74" t="s">
        <v>123</v>
      </c>
      <c r="D74">
        <f>SUM(C2:C73)</f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D74"/>
    </sheetView>
  </sheetViews>
  <sheetFormatPr defaultRowHeight="15"/>
  <cols>
    <col min="1" max="4" width="16" style="20" customWidth="1"/>
  </cols>
  <sheetData>
    <row r="1" spans="1:3">
      <c r="A1" s="6" t="s">
        <v>105</v>
      </c>
      <c r="B1" s="7" t="s">
        <v>108</v>
      </c>
      <c r="C1" s="6" t="s">
        <v>1</v>
      </c>
    </row>
    <row r="2" spans="1:3">
      <c r="A2" t="s">
        <v>33</v>
      </c>
      <c r="B2" t="s">
        <v>109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t="s">
        <v>110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t="s">
        <v>118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t="s">
        <v>109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t="s">
        <v>122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t="s">
        <v>109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t="s">
        <v>126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t="s">
        <v>119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t="s">
        <v>147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t="s">
        <v>118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t="s">
        <v>114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t="s">
        <v>115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t="s">
        <v>113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t="s">
        <v>124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t="s">
        <v>121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t="s">
        <v>110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t="s">
        <v>118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t="s">
        <v>167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t="s">
        <v>116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t="s">
        <v>112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t="s">
        <v>112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t="s">
        <v>109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t="s">
        <v>109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t="s">
        <v>122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t="s">
        <v>115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t="s">
        <v>109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t="s">
        <v>112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t="s">
        <v>109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t="s">
        <v>114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t="s">
        <v>110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t="s">
        <v>116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t="s">
        <v>109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t="s">
        <v>124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t="s">
        <v>109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t="s">
        <v>116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t="s">
        <v>110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t="s">
        <v>109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t="s">
        <v>118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t="s">
        <v>128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t="s">
        <v>117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t="s">
        <v>109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t="s">
        <v>109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t="s">
        <v>111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t="s">
        <v>116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t="s">
        <v>109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t="s">
        <v>111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t="s">
        <v>115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t="s">
        <v>109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t="s">
        <v>112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t="s">
        <v>119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t="s">
        <v>116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t="s">
        <v>121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t="s">
        <v>110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t="s">
        <v>122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t="s">
        <v>119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t="s">
        <v>121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t="s">
        <v>119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t="s">
        <v>109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t="s">
        <v>110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t="s">
        <v>114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t="s">
        <v>118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t="s">
        <v>109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t="s">
        <v>127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t="s">
        <v>115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t="s">
        <v>111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t="s">
        <v>126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t="s">
        <v>109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t="s">
        <v>110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t="s">
        <v>109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t="s">
        <v>121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t="s">
        <v>126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B74" s="5"/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D74"/>
    </sheetView>
  </sheetViews>
  <sheetFormatPr defaultRowHeight="15"/>
  <cols>
    <col min="1" max="4" width="16" style="20" customWidth="1"/>
  </cols>
  <sheetData>
    <row r="1" spans="1:3">
      <c r="A1" s="17" t="s">
        <v>105</v>
      </c>
      <c r="B1" s="18" t="s">
        <v>108</v>
      </c>
      <c r="C1" s="17" t="s">
        <v>1</v>
      </c>
    </row>
    <row r="2" spans="1:3">
      <c r="A2" t="s">
        <v>33</v>
      </c>
      <c r="B2" s="5" t="s">
        <v>112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3</v>
      </c>
    </row>
    <row r="3" spans="1:3">
      <c r="A3" t="s">
        <v>34</v>
      </c>
      <c r="B3" s="5" t="s">
        <v>110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s="5" t="s">
        <v>114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5" t="s">
        <v>118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5" t="s">
        <v>122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5" t="s">
        <v>109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5" t="s">
        <v>120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5" t="s">
        <v>119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5" t="s">
        <v>112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5" t="s">
        <v>115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5" t="s">
        <v>120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5" t="s">
        <v>117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5" t="s">
        <v>113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5" t="s">
        <v>118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5" t="s">
        <v>111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5" t="s">
        <v>112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5" t="s">
        <v>117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5" t="s">
        <v>122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5" t="s">
        <v>124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5" t="s">
        <v>109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5" t="s">
        <v>116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5" t="s">
        <v>120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5" t="s">
        <v>109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5" t="s">
        <v>119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5" t="s">
        <v>115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5" t="s">
        <v>115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5" t="s">
        <v>112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5" t="s">
        <v>115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5" t="s">
        <v>112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5" t="s">
        <v>111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5" t="s">
        <v>147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5" t="s">
        <v>114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5" t="s">
        <v>116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5" t="s">
        <v>124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5" t="s">
        <v>117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5" t="s">
        <v>111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5" t="s">
        <v>112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5" t="s">
        <v>120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5" t="s">
        <v>116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5" t="s">
        <v>120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5" t="s">
        <v>115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5" t="s">
        <v>128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5" t="s">
        <v>116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5" t="s">
        <v>150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5" t="s">
        <v>109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5" t="s">
        <v>114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5" t="s">
        <v>117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5" t="s">
        <v>110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5" t="s">
        <v>110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5" t="s">
        <v>120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5" t="s">
        <v>119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5" t="s">
        <v>112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5" t="s">
        <v>111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5" t="s">
        <v>110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5" t="s">
        <v>120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5" t="s">
        <v>154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5" t="s">
        <v>120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5" t="s">
        <v>111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5" t="s">
        <v>114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5" t="s">
        <v>109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5" t="s">
        <v>114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5" t="s">
        <v>116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5" t="s">
        <v>111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5" t="s">
        <v>111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5" t="s">
        <v>120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5" t="s">
        <v>119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5" t="s">
        <v>119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5" t="s">
        <v>115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5" t="s">
        <v>111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5" t="s">
        <v>120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5" t="s">
        <v>122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5" t="s">
        <v>122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B74" s="5"/>
      <c r="C74" t="s">
        <v>123</v>
      </c>
      <c r="D74">
        <f>SUM(C2:C73)</f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D74"/>
    </sheetView>
  </sheetViews>
  <sheetFormatPr defaultRowHeight="15"/>
  <cols>
    <col min="1" max="4" width="16" style="20" customWidth="1"/>
  </cols>
  <sheetData>
    <row r="1" spans="1:3">
      <c r="A1" s="6" t="s">
        <v>105</v>
      </c>
      <c r="B1" s="7" t="s">
        <v>108</v>
      </c>
      <c r="C1" s="6" t="s">
        <v>1</v>
      </c>
    </row>
    <row r="2" spans="1:3">
      <c r="A2" t="s">
        <v>33</v>
      </c>
      <c r="B2" t="s">
        <v>112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3</v>
      </c>
    </row>
    <row r="3" spans="1:3">
      <c r="A3" t="s">
        <v>34</v>
      </c>
      <c r="B3" t="s">
        <v>110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t="s">
        <v>109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t="s">
        <v>111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t="s">
        <v>111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t="s">
        <v>109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t="s">
        <v>111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t="s">
        <v>121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t="s">
        <v>116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t="s">
        <v>109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t="s">
        <v>110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t="s">
        <v>115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t="s">
        <v>116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t="s">
        <v>112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t="s">
        <v>111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t="s">
        <v>109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t="s">
        <v>112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t="s">
        <v>111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t="s">
        <v>116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t="s">
        <v>112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t="s">
        <v>116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t="s">
        <v>109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t="s">
        <v>110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t="s">
        <v>115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t="s">
        <v>115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t="s">
        <v>112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t="s">
        <v>109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t="s">
        <v>110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t="s">
        <v>115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t="s">
        <v>121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t="s">
        <v>116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t="s">
        <v>110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t="s">
        <v>109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t="s">
        <v>112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t="s">
        <v>112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t="s">
        <v>117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t="s">
        <v>116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t="s">
        <v>112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t="s">
        <v>112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t="s">
        <v>117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t="s">
        <v>112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t="s">
        <v>116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t="s">
        <v>109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t="s">
        <v>111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t="s">
        <v>116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t="s">
        <v>116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t="s">
        <v>122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t="s">
        <v>112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t="s">
        <v>110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t="s">
        <v>117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t="s">
        <v>122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t="s">
        <v>112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t="s">
        <v>110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t="s">
        <v>117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t="s">
        <v>111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t="s">
        <v>122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t="s">
        <v>110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t="s">
        <v>111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t="s">
        <v>110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t="s">
        <v>121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t="s">
        <v>124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t="s">
        <v>112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t="s">
        <v>110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t="s">
        <v>111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t="s">
        <v>110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t="s">
        <v>111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t="s">
        <v>122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t="s">
        <v>112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t="s">
        <v>121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t="s">
        <v>110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t="s">
        <v>121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t="s">
        <v>122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B74" s="5"/>
      <c r="C74" t="s">
        <v>123</v>
      </c>
      <c r="D74">
        <f>SUM(C2:C73)</f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D74"/>
    </sheetView>
  </sheetViews>
  <sheetFormatPr defaultRowHeight="15"/>
  <cols>
    <col min="1" max="4" width="16" style="20" customWidth="1"/>
  </cols>
  <sheetData>
    <row r="1" spans="1:3">
      <c r="A1" s="6" t="s">
        <v>105</v>
      </c>
      <c r="B1" s="7" t="s">
        <v>108</v>
      </c>
      <c r="C1" s="6" t="s">
        <v>1</v>
      </c>
    </row>
    <row r="2" spans="1:3">
      <c r="A2" t="s">
        <v>33</v>
      </c>
      <c r="B2" t="s">
        <v>116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t="s">
        <v>114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t="s">
        <v>118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t="s">
        <v>109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t="s">
        <v>154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t="s">
        <v>116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t="s">
        <v>126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t="s">
        <v>110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t="s">
        <v>149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t="s">
        <v>112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t="s">
        <v>115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t="s">
        <v>113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t="s">
        <v>125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t="s">
        <v>118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t="s">
        <v>127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t="s">
        <v>109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t="s">
        <v>149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t="s">
        <v>112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t="s">
        <v>129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t="s">
        <v>116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t="s">
        <v>113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t="s">
        <v>124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t="s">
        <v>110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t="s">
        <v>111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t="s">
        <v>118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t="s">
        <v>112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t="s">
        <v>116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t="s">
        <v>109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t="s">
        <v>114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t="s">
        <v>113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t="s">
        <v>116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t="s">
        <v>110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t="s">
        <v>118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t="s">
        <v>147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t="s">
        <v>115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t="s">
        <v>114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t="s">
        <v>113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t="s">
        <v>116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t="s">
        <v>109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t="s">
        <v>112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t="s">
        <v>118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t="s">
        <v>147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t="s">
        <v>118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t="s">
        <v>109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t="s">
        <v>113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t="s">
        <v>147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t="s">
        <v>126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t="s">
        <v>109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t="s">
        <v>114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t="s">
        <v>115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t="s">
        <v>119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t="s">
        <v>120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t="s">
        <v>119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t="s">
        <v>110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t="s">
        <v>109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t="s">
        <v>154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t="s">
        <v>110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t="s">
        <v>119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t="s">
        <v>121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t="s">
        <v>111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t="s">
        <v>122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t="s">
        <v>120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t="s">
        <v>114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t="s">
        <v>119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t="s">
        <v>120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t="s">
        <v>154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t="s">
        <v>122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t="s">
        <v>118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t="s">
        <v>119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t="s">
        <v>117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t="s">
        <v>121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t="s">
        <v>122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B74" s="5"/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D74"/>
    </sheetView>
  </sheetViews>
  <sheetFormatPr defaultRowHeight="15"/>
  <cols>
    <col min="1" max="4" width="16" style="20" customWidth="1"/>
  </cols>
  <sheetData>
    <row r="1" spans="1:3">
      <c r="A1" s="6" t="s">
        <v>105</v>
      </c>
      <c r="B1" s="7" t="s">
        <v>108</v>
      </c>
      <c r="C1" s="6" t="s">
        <v>1</v>
      </c>
    </row>
    <row r="2" spans="1:3">
      <c r="A2" t="s">
        <v>33</v>
      </c>
      <c r="B2" s="5" t="s">
        <v>109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s="5" t="s">
        <v>121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s="5" t="s">
        <v>110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s="5" t="s">
        <v>112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s="5" t="s">
        <v>119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s="5" t="s">
        <v>115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s="5" t="s">
        <v>119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s="5" t="s">
        <v>109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s="5" t="s">
        <v>118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s="5" t="s">
        <v>112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s="5" t="s">
        <v>110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s="5" t="s">
        <v>118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s="5" t="s">
        <v>116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s="5" t="s">
        <v>117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s="5" t="s">
        <v>110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s="5" t="s">
        <v>111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s="5" t="s">
        <v>112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s="5" t="s">
        <v>121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s="5" t="s">
        <v>109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s="5" t="s">
        <v>112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s="5" t="s">
        <v>112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s="5" t="s">
        <v>150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s="5" t="s">
        <v>115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s="5" t="s">
        <v>110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s="5" t="s">
        <v>109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s="5" t="s">
        <v>112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s="5" t="s">
        <v>115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s="5" t="s">
        <v>115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s="5" t="s">
        <v>121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s="5" t="s">
        <v>110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s="5" t="s">
        <v>109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s="5" t="s">
        <v>110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s="5" t="s">
        <v>124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s="5" t="s">
        <v>112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s="5" t="s">
        <v>120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s="5" t="s">
        <v>121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s="5" t="s">
        <v>109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s="5" t="s">
        <v>120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s="5" t="s">
        <v>110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s="5" t="s">
        <v>121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s="5" t="s">
        <v>114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s="5" t="s">
        <v>110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s="5" t="s">
        <v>109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s="5" t="s">
        <v>110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s="5" t="s">
        <v>109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s="5" t="s">
        <v>112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s="5" t="s">
        <v>119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s="5" t="s">
        <v>115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s="5" t="s">
        <v>124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s="5" t="s">
        <v>110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s="5" t="s">
        <v>121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s="5" t="s">
        <v>110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s="5" t="s">
        <v>109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s="5" t="s">
        <v>115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s="5" t="s">
        <v>117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s="5" t="s">
        <v>121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s="5" t="s">
        <v>121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s="5" t="s">
        <v>119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s="5" t="s">
        <v>110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s="5" t="s">
        <v>110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s="5" t="s">
        <v>114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s="5" t="s">
        <v>110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s="5" t="s">
        <v>117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s="5" t="s">
        <v>111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s="5" t="s">
        <v>109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s="5" t="s">
        <v>121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s="5" t="s">
        <v>119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s="5" t="s">
        <v>112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s="5" t="s">
        <v>119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s="5" t="s">
        <v>110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s="5" t="s">
        <v>110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s="5" t="s">
        <v>117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B74" s="5"/>
      <c r="C74" t="s">
        <v>123</v>
      </c>
      <c r="D74">
        <f>SUM(C2:C73)</f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sqref="A1:D74"/>
    </sheetView>
  </sheetViews>
  <sheetFormatPr defaultRowHeight="15"/>
  <cols>
    <col min="1" max="4" width="16" style="20" customWidth="1"/>
  </cols>
  <sheetData>
    <row r="1" spans="1:3">
      <c r="A1" s="6" t="s">
        <v>105</v>
      </c>
      <c r="B1" s="7" t="s">
        <v>108</v>
      </c>
      <c r="C1" s="6" t="s">
        <v>1</v>
      </c>
    </row>
    <row r="2" spans="1:3">
      <c r="A2" t="s">
        <v>33</v>
      </c>
      <c r="B2" t="s">
        <v>118</v>
      </c>
      <c r="C2">
        <f>IF(OR(B2="",Wyniki!B2="",Wyniki!C2=""),"",IF(SUBSTITUTE(B2,"-",":")=Wyniki!B2&amp;":"&amp;Wyniki!C2,3,IF(OR(AND(VALUE(LEFT(SUBSTITUTE(B2,"-",":"),FIND(":",SUBSTITUTE(B2,"-",":"))-1))&gt;VALUE(MID(SUBSTITUTE(B2,"-",":"),FIND(":",SUBSTITUTE(B2,"-",":"))+1,20)),Wyniki!B2&gt;Wyniki!C2),AND(VALUE(LEFT(SUBSTITUTE(B2,"-",":"),FIND(":",SUBSTITUTE(B2,"-",":"))-1))&lt;VALUE(MID(SUBSTITUTE(B2,"-",":"),FIND(":",SUBSTITUTE(B2,"-",":"))+1,20)),Wyniki!B2&lt;Wyniki!C2),AND(VALUE(LEFT(SUBSTITUTE(B2,"-",":"),FIND(":",SUBSTITUTE(B2,"-",":"))-1))=VALUE(MID(SUBSTITUTE(B2,"-",":"),FIND(":",SUBSTITUTE(B2,"-",":"))+1,20)),Wyniki!B2=Wyniki!C2)),1,0)))</f>
        <v>1</v>
      </c>
    </row>
    <row r="3" spans="1:3">
      <c r="A3" t="s">
        <v>34</v>
      </c>
      <c r="B3" t="s">
        <v>110</v>
      </c>
      <c r="C3">
        <f>IF(OR(B3="",Wyniki!B3="",Wyniki!C3=""),"",IF(SUBSTITUTE(B3,"-",":")=Wyniki!B3&amp;":"&amp;Wyniki!C3,3,IF(OR(AND(VALUE(LEFT(SUBSTITUTE(B3,"-",":"),FIND(":",SUBSTITUTE(B3,"-",":"))-1))&gt;VALUE(MID(SUBSTITUTE(B3,"-",":"),FIND(":",SUBSTITUTE(B3,"-",":"))+1,20)),Wyniki!B3&gt;Wyniki!C3),AND(VALUE(LEFT(SUBSTITUTE(B3,"-",":"),FIND(":",SUBSTITUTE(B3,"-",":"))-1))&lt;VALUE(MID(SUBSTITUTE(B3,"-",":"),FIND(":",SUBSTITUTE(B3,"-",":"))+1,20)),Wyniki!B3&lt;Wyniki!C3),AND(VALUE(LEFT(SUBSTITUTE(B3,"-",":"),FIND(":",SUBSTITUTE(B3,"-",":"))-1))=VALUE(MID(SUBSTITUTE(B3,"-",":"),FIND(":",SUBSTITUTE(B3,"-",":"))+1,20)),Wyniki!B3=Wyniki!C3)),1,0)))</f>
        <v>0</v>
      </c>
    </row>
    <row r="4" spans="1:3">
      <c r="A4" t="s">
        <v>35</v>
      </c>
      <c r="B4" t="s">
        <v>115</v>
      </c>
      <c r="C4" t="str">
        <f>IF(OR(B4="",Wyniki!B4="",Wyniki!C4=""),"",IF(SUBSTITUTE(B4,"-",":")=Wyniki!B4&amp;":"&amp;Wyniki!C4,3,IF(OR(AND(VALUE(LEFT(SUBSTITUTE(B4,"-",":"),FIND(":",SUBSTITUTE(B4,"-",":"))-1))&gt;VALUE(MID(SUBSTITUTE(B4,"-",":"),FIND(":",SUBSTITUTE(B4,"-",":"))+1,20)),Wyniki!B4&gt;Wyniki!C4),AND(VALUE(LEFT(SUBSTITUTE(B4,"-",":"),FIND(":",SUBSTITUTE(B4,"-",":"))-1))&lt;VALUE(MID(SUBSTITUTE(B4,"-",":"),FIND(":",SUBSTITUTE(B4,"-",":"))+1,20)),Wyniki!B4&lt;Wyniki!C4),AND(VALUE(LEFT(SUBSTITUTE(B4,"-",":"),FIND(":",SUBSTITUTE(B4,"-",":"))-1))=VALUE(MID(SUBSTITUTE(B4,"-",":"),FIND(":",SUBSTITUTE(B4,"-",":"))+1,20)),Wyniki!B4=Wyniki!C4)),1,0)))</f>
        <v/>
      </c>
    </row>
    <row r="5" spans="1:3">
      <c r="A5" t="s">
        <v>36</v>
      </c>
      <c r="B5" t="s">
        <v>116</v>
      </c>
      <c r="C5" t="str">
        <f>IF(OR(B5="",Wyniki!B5="",Wyniki!C5=""),"",IF(SUBSTITUTE(B5,"-",":")=Wyniki!B5&amp;":"&amp;Wyniki!C5,3,IF(OR(AND(VALUE(LEFT(SUBSTITUTE(B5,"-",":"),FIND(":",SUBSTITUTE(B5,"-",":"))-1))&gt;VALUE(MID(SUBSTITUTE(B5,"-",":"),FIND(":",SUBSTITUTE(B5,"-",":"))+1,20)),Wyniki!B5&gt;Wyniki!C5),AND(VALUE(LEFT(SUBSTITUTE(B5,"-",":"),FIND(":",SUBSTITUTE(B5,"-",":"))-1))&lt;VALUE(MID(SUBSTITUTE(B5,"-",":"),FIND(":",SUBSTITUTE(B5,"-",":"))+1,20)),Wyniki!B5&lt;Wyniki!C5),AND(VALUE(LEFT(SUBSTITUTE(B5,"-",":"),FIND(":",SUBSTITUTE(B5,"-",":"))-1))=VALUE(MID(SUBSTITUTE(B5,"-",":"),FIND(":",SUBSTITUTE(B5,"-",":"))+1,20)),Wyniki!B5=Wyniki!C5)),1,0)))</f>
        <v/>
      </c>
    </row>
    <row r="6" spans="1:3">
      <c r="A6" t="s">
        <v>37</v>
      </c>
      <c r="B6" t="s">
        <v>126</v>
      </c>
      <c r="C6" t="str">
        <f>IF(OR(B6="",Wyniki!B6="",Wyniki!C6=""),"",IF(SUBSTITUTE(B6,"-",":")=Wyniki!B6&amp;":"&amp;Wyniki!C6,3,IF(OR(AND(VALUE(LEFT(SUBSTITUTE(B6,"-",":"),FIND(":",SUBSTITUTE(B6,"-",":"))-1))&gt;VALUE(MID(SUBSTITUTE(B6,"-",":"),FIND(":",SUBSTITUTE(B6,"-",":"))+1,20)),Wyniki!B6&gt;Wyniki!C6),AND(VALUE(LEFT(SUBSTITUTE(B6,"-",":"),FIND(":",SUBSTITUTE(B6,"-",":"))-1))&lt;VALUE(MID(SUBSTITUTE(B6,"-",":"),FIND(":",SUBSTITUTE(B6,"-",":"))+1,20)),Wyniki!B6&lt;Wyniki!C6),AND(VALUE(LEFT(SUBSTITUTE(B6,"-",":"),FIND(":",SUBSTITUTE(B6,"-",":"))-1))=VALUE(MID(SUBSTITUTE(B6,"-",":"),FIND(":",SUBSTITUTE(B6,"-",":"))+1,20)),Wyniki!B6=Wyniki!C6)),1,0)))</f>
        <v/>
      </c>
    </row>
    <row r="7" spans="1:3">
      <c r="A7" t="s">
        <v>38</v>
      </c>
      <c r="B7" t="s">
        <v>114</v>
      </c>
      <c r="C7" t="str">
        <f>IF(OR(B7="",Wyniki!B7="",Wyniki!C7=""),"",IF(SUBSTITUTE(B7,"-",":")=Wyniki!B7&amp;":"&amp;Wyniki!C7,3,IF(OR(AND(VALUE(LEFT(SUBSTITUTE(B7,"-",":"),FIND(":",SUBSTITUTE(B7,"-",":"))-1))&gt;VALUE(MID(SUBSTITUTE(B7,"-",":"),FIND(":",SUBSTITUTE(B7,"-",":"))+1,20)),Wyniki!B7&gt;Wyniki!C7),AND(VALUE(LEFT(SUBSTITUTE(B7,"-",":"),FIND(":",SUBSTITUTE(B7,"-",":"))-1))&lt;VALUE(MID(SUBSTITUTE(B7,"-",":"),FIND(":",SUBSTITUTE(B7,"-",":"))+1,20)),Wyniki!B7&lt;Wyniki!C7),AND(VALUE(LEFT(SUBSTITUTE(B7,"-",":"),FIND(":",SUBSTITUTE(B7,"-",":"))-1))=VALUE(MID(SUBSTITUTE(B7,"-",":"),FIND(":",SUBSTITUTE(B7,"-",":"))+1,20)),Wyniki!B7=Wyniki!C7)),1,0)))</f>
        <v/>
      </c>
    </row>
    <row r="8" spans="1:3">
      <c r="A8" t="s">
        <v>39</v>
      </c>
      <c r="B8" t="s">
        <v>173</v>
      </c>
      <c r="C8" t="str">
        <f>IF(OR(B8="",Wyniki!B8="",Wyniki!C8=""),"",IF(SUBSTITUTE(B8,"-",":")=Wyniki!B8&amp;":"&amp;Wyniki!C8,3,IF(OR(AND(VALUE(LEFT(SUBSTITUTE(B8,"-",":"),FIND(":",SUBSTITUTE(B8,"-",":"))-1))&gt;VALUE(MID(SUBSTITUTE(B8,"-",":"),FIND(":",SUBSTITUTE(B8,"-",":"))+1,20)),Wyniki!B8&gt;Wyniki!C8),AND(VALUE(LEFT(SUBSTITUTE(B8,"-",":"),FIND(":",SUBSTITUTE(B8,"-",":"))-1))&lt;VALUE(MID(SUBSTITUTE(B8,"-",":"),FIND(":",SUBSTITUTE(B8,"-",":"))+1,20)),Wyniki!B8&lt;Wyniki!C8),AND(VALUE(LEFT(SUBSTITUTE(B8,"-",":"),FIND(":",SUBSTITUTE(B8,"-",":"))-1))=VALUE(MID(SUBSTITUTE(B8,"-",":"),FIND(":",SUBSTITUTE(B8,"-",":"))+1,20)),Wyniki!B8=Wyniki!C8)),1,0)))</f>
        <v/>
      </c>
    </row>
    <row r="9" spans="1:3">
      <c r="A9" t="s">
        <v>40</v>
      </c>
      <c r="B9" t="s">
        <v>110</v>
      </c>
      <c r="C9" t="str">
        <f>IF(OR(B9="",Wyniki!B9="",Wyniki!C9=""),"",IF(SUBSTITUTE(B9,"-",":")=Wyniki!B9&amp;":"&amp;Wyniki!C9,3,IF(OR(AND(VALUE(LEFT(SUBSTITUTE(B9,"-",":"),FIND(":",SUBSTITUTE(B9,"-",":"))-1))&gt;VALUE(MID(SUBSTITUTE(B9,"-",":"),FIND(":",SUBSTITUTE(B9,"-",":"))+1,20)),Wyniki!B9&gt;Wyniki!C9),AND(VALUE(LEFT(SUBSTITUTE(B9,"-",":"),FIND(":",SUBSTITUTE(B9,"-",":"))-1))&lt;VALUE(MID(SUBSTITUTE(B9,"-",":"),FIND(":",SUBSTITUTE(B9,"-",":"))+1,20)),Wyniki!B9&lt;Wyniki!C9),AND(VALUE(LEFT(SUBSTITUTE(B9,"-",":"),FIND(":",SUBSTITUTE(B9,"-",":"))-1))=VALUE(MID(SUBSTITUTE(B9,"-",":"),FIND(":",SUBSTITUTE(B9,"-",":"))+1,20)),Wyniki!B9=Wyniki!C9)),1,0)))</f>
        <v/>
      </c>
    </row>
    <row r="10" spans="1:3">
      <c r="A10" t="s">
        <v>41</v>
      </c>
      <c r="B10" t="s">
        <v>174</v>
      </c>
      <c r="C10" t="str">
        <f>IF(OR(B10="",Wyniki!B10="",Wyniki!C10=""),"",IF(SUBSTITUTE(B10,"-",":")=Wyniki!B10&amp;":"&amp;Wyniki!C10,3,IF(OR(AND(VALUE(LEFT(SUBSTITUTE(B10,"-",":"),FIND(":",SUBSTITUTE(B10,"-",":"))-1))&gt;VALUE(MID(SUBSTITUTE(B10,"-",":"),FIND(":",SUBSTITUTE(B10,"-",":"))+1,20)),Wyniki!B10&gt;Wyniki!C10),AND(VALUE(LEFT(SUBSTITUTE(B10,"-",":"),FIND(":",SUBSTITUTE(B10,"-",":"))-1))&lt;VALUE(MID(SUBSTITUTE(B10,"-",":"),FIND(":",SUBSTITUTE(B10,"-",":"))+1,20)),Wyniki!B10&lt;Wyniki!C10),AND(VALUE(LEFT(SUBSTITUTE(B10,"-",":"),FIND(":",SUBSTITUTE(B10,"-",":"))-1))=VALUE(MID(SUBSTITUTE(B10,"-",":"),FIND(":",SUBSTITUTE(B10,"-",":"))+1,20)),Wyniki!B10=Wyniki!C10)),1,0)))</f>
        <v/>
      </c>
    </row>
    <row r="11" spans="1:3">
      <c r="A11" t="s">
        <v>42</v>
      </c>
      <c r="B11" t="s">
        <v>124</v>
      </c>
      <c r="C11" t="str">
        <f>IF(OR(B11="",Wyniki!B11="",Wyniki!C11=""),"",IF(SUBSTITUTE(B11,"-",":")=Wyniki!B11&amp;":"&amp;Wyniki!C11,3,IF(OR(AND(VALUE(LEFT(SUBSTITUTE(B11,"-",":"),FIND(":",SUBSTITUTE(B11,"-",":"))-1))&gt;VALUE(MID(SUBSTITUTE(B11,"-",":"),FIND(":",SUBSTITUTE(B11,"-",":"))+1,20)),Wyniki!B11&gt;Wyniki!C11),AND(VALUE(LEFT(SUBSTITUTE(B11,"-",":"),FIND(":",SUBSTITUTE(B11,"-",":"))-1))&lt;VALUE(MID(SUBSTITUTE(B11,"-",":"),FIND(":",SUBSTITUTE(B11,"-",":"))+1,20)),Wyniki!B11&lt;Wyniki!C11),AND(VALUE(LEFT(SUBSTITUTE(B11,"-",":"),FIND(":",SUBSTITUTE(B11,"-",":"))-1))=VALUE(MID(SUBSTITUTE(B11,"-",":"),FIND(":",SUBSTITUTE(B11,"-",":"))+1,20)),Wyniki!B11=Wyniki!C11)),1,0)))</f>
        <v/>
      </c>
    </row>
    <row r="12" spans="1:3">
      <c r="A12" t="s">
        <v>43</v>
      </c>
      <c r="B12" t="s">
        <v>175</v>
      </c>
      <c r="C12" t="str">
        <f>IF(OR(B12="",Wyniki!B12="",Wyniki!C12=""),"",IF(SUBSTITUTE(B12,"-",":")=Wyniki!B12&amp;":"&amp;Wyniki!C12,3,IF(OR(AND(VALUE(LEFT(SUBSTITUTE(B12,"-",":"),FIND(":",SUBSTITUTE(B12,"-",":"))-1))&gt;VALUE(MID(SUBSTITUTE(B12,"-",":"),FIND(":",SUBSTITUTE(B12,"-",":"))+1,20)),Wyniki!B12&gt;Wyniki!C12),AND(VALUE(LEFT(SUBSTITUTE(B12,"-",":"),FIND(":",SUBSTITUTE(B12,"-",":"))-1))&lt;VALUE(MID(SUBSTITUTE(B12,"-",":"),FIND(":",SUBSTITUTE(B12,"-",":"))+1,20)),Wyniki!B12&lt;Wyniki!C12),AND(VALUE(LEFT(SUBSTITUTE(B12,"-",":"),FIND(":",SUBSTITUTE(B12,"-",":"))-1))=VALUE(MID(SUBSTITUTE(B12,"-",":"),FIND(":",SUBSTITUTE(B12,"-",":"))+1,20)),Wyniki!B12=Wyniki!C12)),1,0)))</f>
        <v/>
      </c>
    </row>
    <row r="13" spans="1:3">
      <c r="A13" t="s">
        <v>44</v>
      </c>
      <c r="B13" t="s">
        <v>109</v>
      </c>
      <c r="C13" t="str">
        <f>IF(OR(B13="",Wyniki!B13="",Wyniki!C13=""),"",IF(SUBSTITUTE(B13,"-",":")=Wyniki!B13&amp;":"&amp;Wyniki!C13,3,IF(OR(AND(VALUE(LEFT(SUBSTITUTE(B13,"-",":"),FIND(":",SUBSTITUTE(B13,"-",":"))-1))&gt;VALUE(MID(SUBSTITUTE(B13,"-",":"),FIND(":",SUBSTITUTE(B13,"-",":"))+1,20)),Wyniki!B13&gt;Wyniki!C13),AND(VALUE(LEFT(SUBSTITUTE(B13,"-",":"),FIND(":",SUBSTITUTE(B13,"-",":"))-1))&lt;VALUE(MID(SUBSTITUTE(B13,"-",":"),FIND(":",SUBSTITUTE(B13,"-",":"))+1,20)),Wyniki!B13&lt;Wyniki!C13),AND(VALUE(LEFT(SUBSTITUTE(B13,"-",":"),FIND(":",SUBSTITUTE(B13,"-",":"))-1))=VALUE(MID(SUBSTITUTE(B13,"-",":"),FIND(":",SUBSTITUTE(B13,"-",":"))+1,20)),Wyniki!B13=Wyniki!C13)),1,0)))</f>
        <v/>
      </c>
    </row>
    <row r="14" spans="1:3">
      <c r="A14" t="s">
        <v>45</v>
      </c>
      <c r="B14" t="s">
        <v>176</v>
      </c>
      <c r="C14" t="str">
        <f>IF(OR(B14="",Wyniki!B14="",Wyniki!C14=""),"",IF(SUBSTITUTE(B14,"-",":")=Wyniki!B14&amp;":"&amp;Wyniki!C14,3,IF(OR(AND(VALUE(LEFT(SUBSTITUTE(B14,"-",":"),FIND(":",SUBSTITUTE(B14,"-",":"))-1))&gt;VALUE(MID(SUBSTITUTE(B14,"-",":"),FIND(":",SUBSTITUTE(B14,"-",":"))+1,20)),Wyniki!B14&gt;Wyniki!C14),AND(VALUE(LEFT(SUBSTITUTE(B14,"-",":"),FIND(":",SUBSTITUTE(B14,"-",":"))-1))&lt;VALUE(MID(SUBSTITUTE(B14,"-",":"),FIND(":",SUBSTITUTE(B14,"-",":"))+1,20)),Wyniki!B14&lt;Wyniki!C14),AND(VALUE(LEFT(SUBSTITUTE(B14,"-",":"),FIND(":",SUBSTITUTE(B14,"-",":"))-1))=VALUE(MID(SUBSTITUTE(B14,"-",":"),FIND(":",SUBSTITUTE(B14,"-",":"))+1,20)),Wyniki!B14=Wyniki!C14)),1,0)))</f>
        <v/>
      </c>
    </row>
    <row r="15" spans="1:3">
      <c r="A15" t="s">
        <v>46</v>
      </c>
      <c r="B15" t="s">
        <v>118</v>
      </c>
      <c r="C15" t="str">
        <f>IF(OR(B15="",Wyniki!B15="",Wyniki!C15=""),"",IF(SUBSTITUTE(B15,"-",":")=Wyniki!B15&amp;":"&amp;Wyniki!C15,3,IF(OR(AND(VALUE(LEFT(SUBSTITUTE(B15,"-",":"),FIND(":",SUBSTITUTE(B15,"-",":"))-1))&gt;VALUE(MID(SUBSTITUTE(B15,"-",":"),FIND(":",SUBSTITUTE(B15,"-",":"))+1,20)),Wyniki!B15&gt;Wyniki!C15),AND(VALUE(LEFT(SUBSTITUTE(B15,"-",":"),FIND(":",SUBSTITUTE(B15,"-",":"))-1))&lt;VALUE(MID(SUBSTITUTE(B15,"-",":"),FIND(":",SUBSTITUTE(B15,"-",":"))+1,20)),Wyniki!B15&lt;Wyniki!C15),AND(VALUE(LEFT(SUBSTITUTE(B15,"-",":"),FIND(":",SUBSTITUTE(B15,"-",":"))-1))=VALUE(MID(SUBSTITUTE(B15,"-",":"),FIND(":",SUBSTITUTE(B15,"-",":"))+1,20)),Wyniki!B15=Wyniki!C15)),1,0)))</f>
        <v/>
      </c>
    </row>
    <row r="16" spans="1:3">
      <c r="A16" t="s">
        <v>47</v>
      </c>
      <c r="B16" t="s">
        <v>121</v>
      </c>
      <c r="C16" t="str">
        <f>IF(OR(B16="",Wyniki!B16="",Wyniki!C16=""),"",IF(SUBSTITUTE(B16,"-",":")=Wyniki!B16&amp;":"&amp;Wyniki!C16,3,IF(OR(AND(VALUE(LEFT(SUBSTITUTE(B16,"-",":"),FIND(":",SUBSTITUTE(B16,"-",":"))-1))&gt;VALUE(MID(SUBSTITUTE(B16,"-",":"),FIND(":",SUBSTITUTE(B16,"-",":"))+1,20)),Wyniki!B16&gt;Wyniki!C16),AND(VALUE(LEFT(SUBSTITUTE(B16,"-",":"),FIND(":",SUBSTITUTE(B16,"-",":"))-1))&lt;VALUE(MID(SUBSTITUTE(B16,"-",":"),FIND(":",SUBSTITUTE(B16,"-",":"))+1,20)),Wyniki!B16&lt;Wyniki!C16),AND(VALUE(LEFT(SUBSTITUTE(B16,"-",":"),FIND(":",SUBSTITUTE(B16,"-",":"))-1))=VALUE(MID(SUBSTITUTE(B16,"-",":"),FIND(":",SUBSTITUTE(B16,"-",":"))+1,20)),Wyniki!B16=Wyniki!C16)),1,0)))</f>
        <v/>
      </c>
    </row>
    <row r="17" spans="1:3">
      <c r="A17" t="s">
        <v>48</v>
      </c>
      <c r="B17" t="s">
        <v>115</v>
      </c>
      <c r="C17" t="str">
        <f>IF(OR(B17="",Wyniki!B17="",Wyniki!C17=""),"",IF(SUBSTITUTE(B17,"-",":")=Wyniki!B17&amp;":"&amp;Wyniki!C17,3,IF(OR(AND(VALUE(LEFT(SUBSTITUTE(B17,"-",":"),FIND(":",SUBSTITUTE(B17,"-",":"))-1))&gt;VALUE(MID(SUBSTITUTE(B17,"-",":"),FIND(":",SUBSTITUTE(B17,"-",":"))+1,20)),Wyniki!B17&gt;Wyniki!C17),AND(VALUE(LEFT(SUBSTITUTE(B17,"-",":"),FIND(":",SUBSTITUTE(B17,"-",":"))-1))&lt;VALUE(MID(SUBSTITUTE(B17,"-",":"),FIND(":",SUBSTITUTE(B17,"-",":"))+1,20)),Wyniki!B17&lt;Wyniki!C17),AND(VALUE(LEFT(SUBSTITUTE(B17,"-",":"),FIND(":",SUBSTITUTE(B17,"-",":"))-1))=VALUE(MID(SUBSTITUTE(B17,"-",":"),FIND(":",SUBSTITUTE(B17,"-",":"))+1,20)),Wyniki!B17=Wyniki!C17)),1,0)))</f>
        <v/>
      </c>
    </row>
    <row r="18" spans="1:3">
      <c r="A18" t="s">
        <v>49</v>
      </c>
      <c r="B18" t="s">
        <v>109</v>
      </c>
      <c r="C18" t="str">
        <f>IF(OR(B18="",Wyniki!B18="",Wyniki!C18=""),"",IF(SUBSTITUTE(B18,"-",":")=Wyniki!B18&amp;":"&amp;Wyniki!C18,3,IF(OR(AND(VALUE(LEFT(SUBSTITUTE(B18,"-",":"),FIND(":",SUBSTITUTE(B18,"-",":"))-1))&gt;VALUE(MID(SUBSTITUTE(B18,"-",":"),FIND(":",SUBSTITUTE(B18,"-",":"))+1,20)),Wyniki!B18&gt;Wyniki!C18),AND(VALUE(LEFT(SUBSTITUTE(B18,"-",":"),FIND(":",SUBSTITUTE(B18,"-",":"))-1))&lt;VALUE(MID(SUBSTITUTE(B18,"-",":"),FIND(":",SUBSTITUTE(B18,"-",":"))+1,20)),Wyniki!B18&lt;Wyniki!C18),AND(VALUE(LEFT(SUBSTITUTE(B18,"-",":"),FIND(":",SUBSTITUTE(B18,"-",":"))-1))=VALUE(MID(SUBSTITUTE(B18,"-",":"),FIND(":",SUBSTITUTE(B18,"-",":"))+1,20)),Wyniki!B18=Wyniki!C18)),1,0)))</f>
        <v/>
      </c>
    </row>
    <row r="19" spans="1:3">
      <c r="A19" t="s">
        <v>50</v>
      </c>
      <c r="B19" t="s">
        <v>126</v>
      </c>
      <c r="C19" t="str">
        <f>IF(OR(B19="",Wyniki!B19="",Wyniki!C19=""),"",IF(SUBSTITUTE(B19,"-",":")=Wyniki!B19&amp;":"&amp;Wyniki!C19,3,IF(OR(AND(VALUE(LEFT(SUBSTITUTE(B19,"-",":"),FIND(":",SUBSTITUTE(B19,"-",":"))-1))&gt;VALUE(MID(SUBSTITUTE(B19,"-",":"),FIND(":",SUBSTITUTE(B19,"-",":"))+1,20)),Wyniki!B19&gt;Wyniki!C19),AND(VALUE(LEFT(SUBSTITUTE(B19,"-",":"),FIND(":",SUBSTITUTE(B19,"-",":"))-1))&lt;VALUE(MID(SUBSTITUTE(B19,"-",":"),FIND(":",SUBSTITUTE(B19,"-",":"))+1,20)),Wyniki!B19&lt;Wyniki!C19),AND(VALUE(LEFT(SUBSTITUTE(B19,"-",":"),FIND(":",SUBSTITUTE(B19,"-",":"))-1))=VALUE(MID(SUBSTITUTE(B19,"-",":"),FIND(":",SUBSTITUTE(B19,"-",":"))+1,20)),Wyniki!B19=Wyniki!C19)),1,0)))</f>
        <v/>
      </c>
    </row>
    <row r="20" spans="1:3">
      <c r="A20" t="s">
        <v>51</v>
      </c>
      <c r="B20" t="s">
        <v>118</v>
      </c>
      <c r="C20" t="str">
        <f>IF(OR(B20="",Wyniki!B20="",Wyniki!C20=""),"",IF(SUBSTITUTE(B20,"-",":")=Wyniki!B20&amp;":"&amp;Wyniki!C20,3,IF(OR(AND(VALUE(LEFT(SUBSTITUTE(B20,"-",":"),FIND(":",SUBSTITUTE(B20,"-",":"))-1))&gt;VALUE(MID(SUBSTITUTE(B20,"-",":"),FIND(":",SUBSTITUTE(B20,"-",":"))+1,20)),Wyniki!B20&gt;Wyniki!C20),AND(VALUE(LEFT(SUBSTITUTE(B20,"-",":"),FIND(":",SUBSTITUTE(B20,"-",":"))-1))&lt;VALUE(MID(SUBSTITUTE(B20,"-",":"),FIND(":",SUBSTITUTE(B20,"-",":"))+1,20)),Wyniki!B20&lt;Wyniki!C20),AND(VALUE(LEFT(SUBSTITUTE(B20,"-",":"),FIND(":",SUBSTITUTE(B20,"-",":"))-1))=VALUE(MID(SUBSTITUTE(B20,"-",":"),FIND(":",SUBSTITUTE(B20,"-",":"))+1,20)),Wyniki!B20=Wyniki!C20)),1,0)))</f>
        <v/>
      </c>
    </row>
    <row r="21" spans="1:3">
      <c r="A21" t="s">
        <v>52</v>
      </c>
      <c r="B21" t="s">
        <v>116</v>
      </c>
      <c r="C21" t="str">
        <f>IF(OR(B21="",Wyniki!B21="",Wyniki!C21=""),"",IF(SUBSTITUTE(B21,"-",":")=Wyniki!B21&amp;":"&amp;Wyniki!C21,3,IF(OR(AND(VALUE(LEFT(SUBSTITUTE(B21,"-",":"),FIND(":",SUBSTITUTE(B21,"-",":"))-1))&gt;VALUE(MID(SUBSTITUTE(B21,"-",":"),FIND(":",SUBSTITUTE(B21,"-",":"))+1,20)),Wyniki!B21&gt;Wyniki!C21),AND(VALUE(LEFT(SUBSTITUTE(B21,"-",":"),FIND(":",SUBSTITUTE(B21,"-",":"))-1))&lt;VALUE(MID(SUBSTITUTE(B21,"-",":"),FIND(":",SUBSTITUTE(B21,"-",":"))+1,20)),Wyniki!B21&lt;Wyniki!C21),AND(VALUE(LEFT(SUBSTITUTE(B21,"-",":"),FIND(":",SUBSTITUTE(B21,"-",":"))-1))=VALUE(MID(SUBSTITUTE(B21,"-",":"),FIND(":",SUBSTITUTE(B21,"-",":"))+1,20)),Wyniki!B21=Wyniki!C21)),1,0)))</f>
        <v/>
      </c>
    </row>
    <row r="22" spans="1:3">
      <c r="A22" t="s">
        <v>53</v>
      </c>
      <c r="B22" t="s">
        <v>147</v>
      </c>
      <c r="C22" t="str">
        <f>IF(OR(B22="",Wyniki!B22="",Wyniki!C22=""),"",IF(SUBSTITUTE(B22,"-",":")=Wyniki!B22&amp;":"&amp;Wyniki!C22,3,IF(OR(AND(VALUE(LEFT(SUBSTITUTE(B22,"-",":"),FIND(":",SUBSTITUTE(B22,"-",":"))-1))&gt;VALUE(MID(SUBSTITUTE(B22,"-",":"),FIND(":",SUBSTITUTE(B22,"-",":"))+1,20)),Wyniki!B22&gt;Wyniki!C22),AND(VALUE(LEFT(SUBSTITUTE(B22,"-",":"),FIND(":",SUBSTITUTE(B22,"-",":"))-1))&lt;VALUE(MID(SUBSTITUTE(B22,"-",":"),FIND(":",SUBSTITUTE(B22,"-",":"))+1,20)),Wyniki!B22&lt;Wyniki!C22),AND(VALUE(LEFT(SUBSTITUTE(B22,"-",":"),FIND(":",SUBSTITUTE(B22,"-",":"))-1))=VALUE(MID(SUBSTITUTE(B22,"-",":"),FIND(":",SUBSTITUTE(B22,"-",":"))+1,20)),Wyniki!B22=Wyniki!C22)),1,0)))</f>
        <v/>
      </c>
    </row>
    <row r="23" spans="1:3">
      <c r="A23" t="s">
        <v>54</v>
      </c>
      <c r="B23" t="s">
        <v>109</v>
      </c>
      <c r="C23" t="str">
        <f>IF(OR(B23="",Wyniki!B23="",Wyniki!C23=""),"",IF(SUBSTITUTE(B23,"-",":")=Wyniki!B23&amp;":"&amp;Wyniki!C23,3,IF(OR(AND(VALUE(LEFT(SUBSTITUTE(B23,"-",":"),FIND(":",SUBSTITUTE(B23,"-",":"))-1))&gt;VALUE(MID(SUBSTITUTE(B23,"-",":"),FIND(":",SUBSTITUTE(B23,"-",":"))+1,20)),Wyniki!B23&gt;Wyniki!C23),AND(VALUE(LEFT(SUBSTITUTE(B23,"-",":"),FIND(":",SUBSTITUTE(B23,"-",":"))-1))&lt;VALUE(MID(SUBSTITUTE(B23,"-",":"),FIND(":",SUBSTITUTE(B23,"-",":"))+1,20)),Wyniki!B23&lt;Wyniki!C23),AND(VALUE(LEFT(SUBSTITUTE(B23,"-",":"),FIND(":",SUBSTITUTE(B23,"-",":"))-1))=VALUE(MID(SUBSTITUTE(B23,"-",":"),FIND(":",SUBSTITUTE(B23,"-",":"))+1,20)),Wyniki!B23=Wyniki!C23)),1,0)))</f>
        <v/>
      </c>
    </row>
    <row r="24" spans="1:3">
      <c r="A24" t="s">
        <v>55</v>
      </c>
      <c r="B24" t="s">
        <v>118</v>
      </c>
      <c r="C24" t="str">
        <f>IF(OR(B24="",Wyniki!B24="",Wyniki!C24=""),"",IF(SUBSTITUTE(B24,"-",":")=Wyniki!B24&amp;":"&amp;Wyniki!C24,3,IF(OR(AND(VALUE(LEFT(SUBSTITUTE(B24,"-",":"),FIND(":",SUBSTITUTE(B24,"-",":"))-1))&gt;VALUE(MID(SUBSTITUTE(B24,"-",":"),FIND(":",SUBSTITUTE(B24,"-",":"))+1,20)),Wyniki!B24&gt;Wyniki!C24),AND(VALUE(LEFT(SUBSTITUTE(B24,"-",":"),FIND(":",SUBSTITUTE(B24,"-",":"))-1))&lt;VALUE(MID(SUBSTITUTE(B24,"-",":"),FIND(":",SUBSTITUTE(B24,"-",":"))+1,20)),Wyniki!B24&lt;Wyniki!C24),AND(VALUE(LEFT(SUBSTITUTE(B24,"-",":"),FIND(":",SUBSTITUTE(B24,"-",":"))-1))=VALUE(MID(SUBSTITUTE(B24,"-",":"),FIND(":",SUBSTITUTE(B24,"-",":"))+1,20)),Wyniki!B24=Wyniki!C24)),1,0)))</f>
        <v/>
      </c>
    </row>
    <row r="25" spans="1:3">
      <c r="A25" t="s">
        <v>56</v>
      </c>
      <c r="B25" t="s">
        <v>121</v>
      </c>
      <c r="C25" t="str">
        <f>IF(OR(B25="",Wyniki!B25="",Wyniki!C25=""),"",IF(SUBSTITUTE(B25,"-",":")=Wyniki!B25&amp;":"&amp;Wyniki!C25,3,IF(OR(AND(VALUE(LEFT(SUBSTITUTE(B25,"-",":"),FIND(":",SUBSTITUTE(B25,"-",":"))-1))&gt;VALUE(MID(SUBSTITUTE(B25,"-",":"),FIND(":",SUBSTITUTE(B25,"-",":"))+1,20)),Wyniki!B25&gt;Wyniki!C25),AND(VALUE(LEFT(SUBSTITUTE(B25,"-",":"),FIND(":",SUBSTITUTE(B25,"-",":"))-1))&lt;VALUE(MID(SUBSTITUTE(B25,"-",":"),FIND(":",SUBSTITUTE(B25,"-",":"))+1,20)),Wyniki!B25&lt;Wyniki!C25),AND(VALUE(LEFT(SUBSTITUTE(B25,"-",":"),FIND(":",SUBSTITUTE(B25,"-",":"))-1))=VALUE(MID(SUBSTITUTE(B25,"-",":"),FIND(":",SUBSTITUTE(B25,"-",":"))+1,20)),Wyniki!B25=Wyniki!C25)),1,0)))</f>
        <v/>
      </c>
    </row>
    <row r="26" spans="1:3">
      <c r="A26" t="s">
        <v>57</v>
      </c>
      <c r="B26" t="s">
        <v>109</v>
      </c>
      <c r="C26" t="str">
        <f>IF(OR(B26="",Wyniki!B26="",Wyniki!C26=""),"",IF(SUBSTITUTE(B26,"-",":")=Wyniki!B26&amp;":"&amp;Wyniki!C26,3,IF(OR(AND(VALUE(LEFT(SUBSTITUTE(B26,"-",":"),FIND(":",SUBSTITUTE(B26,"-",":"))-1))&gt;VALUE(MID(SUBSTITUTE(B26,"-",":"),FIND(":",SUBSTITUTE(B26,"-",":"))+1,20)),Wyniki!B26&gt;Wyniki!C26),AND(VALUE(LEFT(SUBSTITUTE(B26,"-",":"),FIND(":",SUBSTITUTE(B26,"-",":"))-1))&lt;VALUE(MID(SUBSTITUTE(B26,"-",":"),FIND(":",SUBSTITUTE(B26,"-",":"))+1,20)),Wyniki!B26&lt;Wyniki!C26),AND(VALUE(LEFT(SUBSTITUTE(B26,"-",":"),FIND(":",SUBSTITUTE(B26,"-",":"))-1))=VALUE(MID(SUBSTITUTE(B26,"-",":"),FIND(":",SUBSTITUTE(B26,"-",":"))+1,20)),Wyniki!B26=Wyniki!C26)),1,0)))</f>
        <v/>
      </c>
    </row>
    <row r="27" spans="1:3">
      <c r="A27" t="s">
        <v>58</v>
      </c>
      <c r="B27" t="s">
        <v>109</v>
      </c>
      <c r="C27" t="str">
        <f>IF(OR(B27="",Wyniki!B27="",Wyniki!C27=""),"",IF(SUBSTITUTE(B27,"-",":")=Wyniki!B27&amp;":"&amp;Wyniki!C27,3,IF(OR(AND(VALUE(LEFT(SUBSTITUTE(B27,"-",":"),FIND(":",SUBSTITUTE(B27,"-",":"))-1))&gt;VALUE(MID(SUBSTITUTE(B27,"-",":"),FIND(":",SUBSTITUTE(B27,"-",":"))+1,20)),Wyniki!B27&gt;Wyniki!C27),AND(VALUE(LEFT(SUBSTITUTE(B27,"-",":"),FIND(":",SUBSTITUTE(B27,"-",":"))-1))&lt;VALUE(MID(SUBSTITUTE(B27,"-",":"),FIND(":",SUBSTITUTE(B27,"-",":"))+1,20)),Wyniki!B27&lt;Wyniki!C27),AND(VALUE(LEFT(SUBSTITUTE(B27,"-",":"),FIND(":",SUBSTITUTE(B27,"-",":"))-1))=VALUE(MID(SUBSTITUTE(B27,"-",":"),FIND(":",SUBSTITUTE(B27,"-",":"))+1,20)),Wyniki!B27=Wyniki!C27)),1,0)))</f>
        <v/>
      </c>
    </row>
    <row r="28" spans="1:3">
      <c r="A28" t="s">
        <v>59</v>
      </c>
      <c r="B28" t="s">
        <v>116</v>
      </c>
      <c r="C28" t="str">
        <f>IF(OR(B28="",Wyniki!B28="",Wyniki!C28=""),"",IF(SUBSTITUTE(B28,"-",":")=Wyniki!B28&amp;":"&amp;Wyniki!C28,3,IF(OR(AND(VALUE(LEFT(SUBSTITUTE(B28,"-",":"),FIND(":",SUBSTITUTE(B28,"-",":"))-1))&gt;VALUE(MID(SUBSTITUTE(B28,"-",":"),FIND(":",SUBSTITUTE(B28,"-",":"))+1,20)),Wyniki!B28&gt;Wyniki!C28),AND(VALUE(LEFT(SUBSTITUTE(B28,"-",":"),FIND(":",SUBSTITUTE(B28,"-",":"))-1))&lt;VALUE(MID(SUBSTITUTE(B28,"-",":"),FIND(":",SUBSTITUTE(B28,"-",":"))+1,20)),Wyniki!B28&lt;Wyniki!C28),AND(VALUE(LEFT(SUBSTITUTE(B28,"-",":"),FIND(":",SUBSTITUTE(B28,"-",":"))-1))=VALUE(MID(SUBSTITUTE(B28,"-",":"),FIND(":",SUBSTITUTE(B28,"-",":"))+1,20)),Wyniki!B28=Wyniki!C28)),1,0)))</f>
        <v/>
      </c>
    </row>
    <row r="29" spans="1:3">
      <c r="A29" t="s">
        <v>60</v>
      </c>
      <c r="B29" t="s">
        <v>121</v>
      </c>
      <c r="C29" t="str">
        <f>IF(OR(B29="",Wyniki!B29="",Wyniki!C29=""),"",IF(SUBSTITUTE(B29,"-",":")=Wyniki!B29&amp;":"&amp;Wyniki!C29,3,IF(OR(AND(VALUE(LEFT(SUBSTITUTE(B29,"-",":"),FIND(":",SUBSTITUTE(B29,"-",":"))-1))&gt;VALUE(MID(SUBSTITUTE(B29,"-",":"),FIND(":",SUBSTITUTE(B29,"-",":"))+1,20)),Wyniki!B29&gt;Wyniki!C29),AND(VALUE(LEFT(SUBSTITUTE(B29,"-",":"),FIND(":",SUBSTITUTE(B29,"-",":"))-1))&lt;VALUE(MID(SUBSTITUTE(B29,"-",":"),FIND(":",SUBSTITUTE(B29,"-",":"))+1,20)),Wyniki!B29&lt;Wyniki!C29),AND(VALUE(LEFT(SUBSTITUTE(B29,"-",":"),FIND(":",SUBSTITUTE(B29,"-",":"))-1))=VALUE(MID(SUBSTITUTE(B29,"-",":"),FIND(":",SUBSTITUTE(B29,"-",":"))+1,20)),Wyniki!B29=Wyniki!C29)),1,0)))</f>
        <v/>
      </c>
    </row>
    <row r="30" spans="1:3">
      <c r="A30" t="s">
        <v>61</v>
      </c>
      <c r="B30" t="s">
        <v>112</v>
      </c>
      <c r="C30" t="str">
        <f>IF(OR(B30="",Wyniki!B30="",Wyniki!C30=""),"",IF(SUBSTITUTE(B30,"-",":")=Wyniki!B30&amp;":"&amp;Wyniki!C30,3,IF(OR(AND(VALUE(LEFT(SUBSTITUTE(B30,"-",":"),FIND(":",SUBSTITUTE(B30,"-",":"))-1))&gt;VALUE(MID(SUBSTITUTE(B30,"-",":"),FIND(":",SUBSTITUTE(B30,"-",":"))+1,20)),Wyniki!B30&gt;Wyniki!C30),AND(VALUE(LEFT(SUBSTITUTE(B30,"-",":"),FIND(":",SUBSTITUTE(B30,"-",":"))-1))&lt;VALUE(MID(SUBSTITUTE(B30,"-",":"),FIND(":",SUBSTITUTE(B30,"-",":"))+1,20)),Wyniki!B30&lt;Wyniki!C30),AND(VALUE(LEFT(SUBSTITUTE(B30,"-",":"),FIND(":",SUBSTITUTE(B30,"-",":"))-1))=VALUE(MID(SUBSTITUTE(B30,"-",":"),FIND(":",SUBSTITUTE(B30,"-",":"))+1,20)),Wyniki!B30=Wyniki!C30)),1,0)))</f>
        <v/>
      </c>
    </row>
    <row r="31" spans="1:3">
      <c r="A31" t="s">
        <v>62</v>
      </c>
      <c r="B31" t="s">
        <v>118</v>
      </c>
      <c r="C31" t="str">
        <f>IF(OR(B31="",Wyniki!B31="",Wyniki!C31=""),"",IF(SUBSTITUTE(B31,"-",":")=Wyniki!B31&amp;":"&amp;Wyniki!C31,3,IF(OR(AND(VALUE(LEFT(SUBSTITUTE(B31,"-",":"),FIND(":",SUBSTITUTE(B31,"-",":"))-1))&gt;VALUE(MID(SUBSTITUTE(B31,"-",":"),FIND(":",SUBSTITUTE(B31,"-",":"))+1,20)),Wyniki!B31&gt;Wyniki!C31),AND(VALUE(LEFT(SUBSTITUTE(B31,"-",":"),FIND(":",SUBSTITUTE(B31,"-",":"))-1))&lt;VALUE(MID(SUBSTITUTE(B31,"-",":"),FIND(":",SUBSTITUTE(B31,"-",":"))+1,20)),Wyniki!B31&lt;Wyniki!C31),AND(VALUE(LEFT(SUBSTITUTE(B31,"-",":"),FIND(":",SUBSTITUTE(B31,"-",":"))-1))=VALUE(MID(SUBSTITUTE(B31,"-",":"),FIND(":",SUBSTITUTE(B31,"-",":"))+1,20)),Wyniki!B31=Wyniki!C31)),1,0)))</f>
        <v/>
      </c>
    </row>
    <row r="32" spans="1:3">
      <c r="A32" t="s">
        <v>63</v>
      </c>
      <c r="B32" t="s">
        <v>113</v>
      </c>
      <c r="C32" t="str">
        <f>IF(OR(B32="",Wyniki!B32="",Wyniki!C32=""),"",IF(SUBSTITUTE(B32,"-",":")=Wyniki!B32&amp;":"&amp;Wyniki!C32,3,IF(OR(AND(VALUE(LEFT(SUBSTITUTE(B32,"-",":"),FIND(":",SUBSTITUTE(B32,"-",":"))-1))&gt;VALUE(MID(SUBSTITUTE(B32,"-",":"),FIND(":",SUBSTITUTE(B32,"-",":"))+1,20)),Wyniki!B32&gt;Wyniki!C32),AND(VALUE(LEFT(SUBSTITUTE(B32,"-",":"),FIND(":",SUBSTITUTE(B32,"-",":"))-1))&lt;VALUE(MID(SUBSTITUTE(B32,"-",":"),FIND(":",SUBSTITUTE(B32,"-",":"))+1,20)),Wyniki!B32&lt;Wyniki!C32),AND(VALUE(LEFT(SUBSTITUTE(B32,"-",":"),FIND(":",SUBSTITUTE(B32,"-",":"))-1))=VALUE(MID(SUBSTITUTE(B32,"-",":"),FIND(":",SUBSTITUTE(B32,"-",":"))+1,20)),Wyniki!B32=Wyniki!C32)),1,0)))</f>
        <v/>
      </c>
    </row>
    <row r="33" spans="1:3">
      <c r="A33" t="s">
        <v>64</v>
      </c>
      <c r="B33" t="s">
        <v>118</v>
      </c>
      <c r="C33" t="str">
        <f>IF(OR(B33="",Wyniki!B33="",Wyniki!C33=""),"",IF(SUBSTITUTE(B33,"-",":")=Wyniki!B33&amp;":"&amp;Wyniki!C33,3,IF(OR(AND(VALUE(LEFT(SUBSTITUTE(B33,"-",":"),FIND(":",SUBSTITUTE(B33,"-",":"))-1))&gt;VALUE(MID(SUBSTITUTE(B33,"-",":"),FIND(":",SUBSTITUTE(B33,"-",":"))+1,20)),Wyniki!B33&gt;Wyniki!C33),AND(VALUE(LEFT(SUBSTITUTE(B33,"-",":"),FIND(":",SUBSTITUTE(B33,"-",":"))-1))&lt;VALUE(MID(SUBSTITUTE(B33,"-",":"),FIND(":",SUBSTITUTE(B33,"-",":"))+1,20)),Wyniki!B33&lt;Wyniki!C33),AND(VALUE(LEFT(SUBSTITUTE(B33,"-",":"),FIND(":",SUBSTITUTE(B33,"-",":"))-1))=VALUE(MID(SUBSTITUTE(B33,"-",":"),FIND(":",SUBSTITUTE(B33,"-",":"))+1,20)),Wyniki!B33=Wyniki!C33)),1,0)))</f>
        <v/>
      </c>
    </row>
    <row r="34" spans="1:3">
      <c r="A34" t="s">
        <v>65</v>
      </c>
      <c r="B34" t="s">
        <v>109</v>
      </c>
      <c r="C34" t="str">
        <f>IF(OR(B34="",Wyniki!B34="",Wyniki!C34=""),"",IF(SUBSTITUTE(B34,"-",":")=Wyniki!B34&amp;":"&amp;Wyniki!C34,3,IF(OR(AND(VALUE(LEFT(SUBSTITUTE(B34,"-",":"),FIND(":",SUBSTITUTE(B34,"-",":"))-1))&gt;VALUE(MID(SUBSTITUTE(B34,"-",":"),FIND(":",SUBSTITUTE(B34,"-",":"))+1,20)),Wyniki!B34&gt;Wyniki!C34),AND(VALUE(LEFT(SUBSTITUTE(B34,"-",":"),FIND(":",SUBSTITUTE(B34,"-",":"))-1))&lt;VALUE(MID(SUBSTITUTE(B34,"-",":"),FIND(":",SUBSTITUTE(B34,"-",":"))+1,20)),Wyniki!B34&lt;Wyniki!C34),AND(VALUE(LEFT(SUBSTITUTE(B34,"-",":"),FIND(":",SUBSTITUTE(B34,"-",":"))-1))=VALUE(MID(SUBSTITUTE(B34,"-",":"),FIND(":",SUBSTITUTE(B34,"-",":"))+1,20)),Wyniki!B34=Wyniki!C34)),1,0)))</f>
        <v/>
      </c>
    </row>
    <row r="35" spans="1:3">
      <c r="A35" t="s">
        <v>66</v>
      </c>
      <c r="B35" t="s">
        <v>124</v>
      </c>
      <c r="C35" t="str">
        <f>IF(OR(B35="",Wyniki!B35="",Wyniki!C35=""),"",IF(SUBSTITUTE(B35,"-",":")=Wyniki!B35&amp;":"&amp;Wyniki!C35,3,IF(OR(AND(VALUE(LEFT(SUBSTITUTE(B35,"-",":"),FIND(":",SUBSTITUTE(B35,"-",":"))-1))&gt;VALUE(MID(SUBSTITUTE(B35,"-",":"),FIND(":",SUBSTITUTE(B35,"-",":"))+1,20)),Wyniki!B35&gt;Wyniki!C35),AND(VALUE(LEFT(SUBSTITUTE(B35,"-",":"),FIND(":",SUBSTITUTE(B35,"-",":"))-1))&lt;VALUE(MID(SUBSTITUTE(B35,"-",":"),FIND(":",SUBSTITUTE(B35,"-",":"))+1,20)),Wyniki!B35&lt;Wyniki!C35),AND(VALUE(LEFT(SUBSTITUTE(B35,"-",":"),FIND(":",SUBSTITUTE(B35,"-",":"))-1))=VALUE(MID(SUBSTITUTE(B35,"-",":"),FIND(":",SUBSTITUTE(B35,"-",":"))+1,20)),Wyniki!B35=Wyniki!C35)),1,0)))</f>
        <v/>
      </c>
    </row>
    <row r="36" spans="1:3">
      <c r="A36" t="s">
        <v>67</v>
      </c>
      <c r="B36" t="s">
        <v>113</v>
      </c>
      <c r="C36" t="str">
        <f>IF(OR(B36="",Wyniki!B36="",Wyniki!C36=""),"",IF(SUBSTITUTE(B36,"-",":")=Wyniki!B36&amp;":"&amp;Wyniki!C36,3,IF(OR(AND(VALUE(LEFT(SUBSTITUTE(B36,"-",":"),FIND(":",SUBSTITUTE(B36,"-",":"))-1))&gt;VALUE(MID(SUBSTITUTE(B36,"-",":"),FIND(":",SUBSTITUTE(B36,"-",":"))+1,20)),Wyniki!B36&gt;Wyniki!C36),AND(VALUE(LEFT(SUBSTITUTE(B36,"-",":"),FIND(":",SUBSTITUTE(B36,"-",":"))-1))&lt;VALUE(MID(SUBSTITUTE(B36,"-",":"),FIND(":",SUBSTITUTE(B36,"-",":"))+1,20)),Wyniki!B36&lt;Wyniki!C36),AND(VALUE(LEFT(SUBSTITUTE(B36,"-",":"),FIND(":",SUBSTITUTE(B36,"-",":"))-1))=VALUE(MID(SUBSTITUTE(B36,"-",":"),FIND(":",SUBSTITUTE(B36,"-",":"))+1,20)),Wyniki!B36=Wyniki!C36)),1,0)))</f>
        <v/>
      </c>
    </row>
    <row r="37" spans="1:3">
      <c r="A37" t="s">
        <v>68</v>
      </c>
      <c r="B37" t="s">
        <v>119</v>
      </c>
      <c r="C37" t="str">
        <f>IF(OR(B37="",Wyniki!B37="",Wyniki!C37=""),"",IF(SUBSTITUTE(B37,"-",":")=Wyniki!B37&amp;":"&amp;Wyniki!C37,3,IF(OR(AND(VALUE(LEFT(SUBSTITUTE(B37,"-",":"),FIND(":",SUBSTITUTE(B37,"-",":"))-1))&gt;VALUE(MID(SUBSTITUTE(B37,"-",":"),FIND(":",SUBSTITUTE(B37,"-",":"))+1,20)),Wyniki!B37&gt;Wyniki!C37),AND(VALUE(LEFT(SUBSTITUTE(B37,"-",":"),FIND(":",SUBSTITUTE(B37,"-",":"))-1))&lt;VALUE(MID(SUBSTITUTE(B37,"-",":"),FIND(":",SUBSTITUTE(B37,"-",":"))+1,20)),Wyniki!B37&lt;Wyniki!C37),AND(VALUE(LEFT(SUBSTITUTE(B37,"-",":"),FIND(":",SUBSTITUTE(B37,"-",":"))-1))=VALUE(MID(SUBSTITUTE(B37,"-",":"),FIND(":",SUBSTITUTE(B37,"-",":"))+1,20)),Wyniki!B37=Wyniki!C37)),1,0)))</f>
        <v/>
      </c>
    </row>
    <row r="38" spans="1:3">
      <c r="A38" t="s">
        <v>69</v>
      </c>
      <c r="B38" t="s">
        <v>125</v>
      </c>
      <c r="C38" t="str">
        <f>IF(OR(B38="",Wyniki!B38="",Wyniki!C38=""),"",IF(SUBSTITUTE(B38,"-",":")=Wyniki!B38&amp;":"&amp;Wyniki!C38,3,IF(OR(AND(VALUE(LEFT(SUBSTITUTE(B38,"-",":"),FIND(":",SUBSTITUTE(B38,"-",":"))-1))&gt;VALUE(MID(SUBSTITUTE(B38,"-",":"),FIND(":",SUBSTITUTE(B38,"-",":"))+1,20)),Wyniki!B38&gt;Wyniki!C38),AND(VALUE(LEFT(SUBSTITUTE(B38,"-",":"),FIND(":",SUBSTITUTE(B38,"-",":"))-1))&lt;VALUE(MID(SUBSTITUTE(B38,"-",":"),FIND(":",SUBSTITUTE(B38,"-",":"))+1,20)),Wyniki!B38&lt;Wyniki!C38),AND(VALUE(LEFT(SUBSTITUTE(B38,"-",":"),FIND(":",SUBSTITUTE(B38,"-",":"))-1))=VALUE(MID(SUBSTITUTE(B38,"-",":"),FIND(":",SUBSTITUTE(B38,"-",":"))+1,20)),Wyniki!B38=Wyniki!C38)),1,0)))</f>
        <v/>
      </c>
    </row>
    <row r="39" spans="1:3">
      <c r="A39" t="s">
        <v>70</v>
      </c>
      <c r="B39" t="s">
        <v>116</v>
      </c>
      <c r="C39" t="str">
        <f>IF(OR(B39="",Wyniki!B39="",Wyniki!C39=""),"",IF(SUBSTITUTE(B39,"-",":")=Wyniki!B39&amp;":"&amp;Wyniki!C39,3,IF(OR(AND(VALUE(LEFT(SUBSTITUTE(B39,"-",":"),FIND(":",SUBSTITUTE(B39,"-",":"))-1))&gt;VALUE(MID(SUBSTITUTE(B39,"-",":"),FIND(":",SUBSTITUTE(B39,"-",":"))+1,20)),Wyniki!B39&gt;Wyniki!C39),AND(VALUE(LEFT(SUBSTITUTE(B39,"-",":"),FIND(":",SUBSTITUTE(B39,"-",":"))-1))&lt;VALUE(MID(SUBSTITUTE(B39,"-",":"),FIND(":",SUBSTITUTE(B39,"-",":"))+1,20)),Wyniki!B39&lt;Wyniki!C39),AND(VALUE(LEFT(SUBSTITUTE(B39,"-",":"),FIND(":",SUBSTITUTE(B39,"-",":"))-1))=VALUE(MID(SUBSTITUTE(B39,"-",":"),FIND(":",SUBSTITUTE(B39,"-",":"))+1,20)),Wyniki!B39=Wyniki!C39)),1,0)))</f>
        <v/>
      </c>
    </row>
    <row r="40" spans="1:3">
      <c r="A40" t="s">
        <v>71</v>
      </c>
      <c r="B40" t="s">
        <v>111</v>
      </c>
      <c r="C40" t="str">
        <f>IF(OR(B40="",Wyniki!B40="",Wyniki!C40=""),"",IF(SUBSTITUTE(B40,"-",":")=Wyniki!B40&amp;":"&amp;Wyniki!C40,3,IF(OR(AND(VALUE(LEFT(SUBSTITUTE(B40,"-",":"),FIND(":",SUBSTITUTE(B40,"-",":"))-1))&gt;VALUE(MID(SUBSTITUTE(B40,"-",":"),FIND(":",SUBSTITUTE(B40,"-",":"))+1,20)),Wyniki!B40&gt;Wyniki!C40),AND(VALUE(LEFT(SUBSTITUTE(B40,"-",":"),FIND(":",SUBSTITUTE(B40,"-",":"))-1))&lt;VALUE(MID(SUBSTITUTE(B40,"-",":"),FIND(":",SUBSTITUTE(B40,"-",":"))+1,20)),Wyniki!B40&lt;Wyniki!C40),AND(VALUE(LEFT(SUBSTITUTE(B40,"-",":"),FIND(":",SUBSTITUTE(B40,"-",":"))-1))=VALUE(MID(SUBSTITUTE(B40,"-",":"),FIND(":",SUBSTITUTE(B40,"-",":"))+1,20)),Wyniki!B40=Wyniki!C40)),1,0)))</f>
        <v/>
      </c>
    </row>
    <row r="41" spans="1:3">
      <c r="A41" t="s">
        <v>72</v>
      </c>
      <c r="B41" t="s">
        <v>109</v>
      </c>
      <c r="C41" t="str">
        <f>IF(OR(B41="",Wyniki!B41="",Wyniki!C41=""),"",IF(SUBSTITUTE(B41,"-",":")=Wyniki!B41&amp;":"&amp;Wyniki!C41,3,IF(OR(AND(VALUE(LEFT(SUBSTITUTE(B41,"-",":"),FIND(":",SUBSTITUTE(B41,"-",":"))-1))&gt;VALUE(MID(SUBSTITUTE(B41,"-",":"),FIND(":",SUBSTITUTE(B41,"-",":"))+1,20)),Wyniki!B41&gt;Wyniki!C41),AND(VALUE(LEFT(SUBSTITUTE(B41,"-",":"),FIND(":",SUBSTITUTE(B41,"-",":"))-1))&lt;VALUE(MID(SUBSTITUTE(B41,"-",":"),FIND(":",SUBSTITUTE(B41,"-",":"))+1,20)),Wyniki!B41&lt;Wyniki!C41),AND(VALUE(LEFT(SUBSTITUTE(B41,"-",":"),FIND(":",SUBSTITUTE(B41,"-",":"))-1))=VALUE(MID(SUBSTITUTE(B41,"-",":"),FIND(":",SUBSTITUTE(B41,"-",":"))+1,20)),Wyniki!B41=Wyniki!C41)),1,0)))</f>
        <v/>
      </c>
    </row>
    <row r="42" spans="1:3">
      <c r="A42" t="s">
        <v>73</v>
      </c>
      <c r="B42" t="s">
        <v>109</v>
      </c>
      <c r="C42" t="str">
        <f>IF(OR(B42="",Wyniki!B42="",Wyniki!C42=""),"",IF(SUBSTITUTE(B42,"-",":")=Wyniki!B42&amp;":"&amp;Wyniki!C42,3,IF(OR(AND(VALUE(LEFT(SUBSTITUTE(B42,"-",":"),FIND(":",SUBSTITUTE(B42,"-",":"))-1))&gt;VALUE(MID(SUBSTITUTE(B42,"-",":"),FIND(":",SUBSTITUTE(B42,"-",":"))+1,20)),Wyniki!B42&gt;Wyniki!C42),AND(VALUE(LEFT(SUBSTITUTE(B42,"-",":"),FIND(":",SUBSTITUTE(B42,"-",":"))-1))&lt;VALUE(MID(SUBSTITUTE(B42,"-",":"),FIND(":",SUBSTITUTE(B42,"-",":"))+1,20)),Wyniki!B42&lt;Wyniki!C42),AND(VALUE(LEFT(SUBSTITUTE(B42,"-",":"),FIND(":",SUBSTITUTE(B42,"-",":"))-1))=VALUE(MID(SUBSTITUTE(B42,"-",":"),FIND(":",SUBSTITUTE(B42,"-",":"))+1,20)),Wyniki!B42=Wyniki!C42)),1,0)))</f>
        <v/>
      </c>
    </row>
    <row r="43" spans="1:3">
      <c r="A43" t="s">
        <v>74</v>
      </c>
      <c r="B43" t="s">
        <v>147</v>
      </c>
      <c r="C43" t="str">
        <f>IF(OR(B43="",Wyniki!B43="",Wyniki!C43=""),"",IF(SUBSTITUTE(B43,"-",":")=Wyniki!B43&amp;":"&amp;Wyniki!C43,3,IF(OR(AND(VALUE(LEFT(SUBSTITUTE(B43,"-",":"),FIND(":",SUBSTITUTE(B43,"-",":"))-1))&gt;VALUE(MID(SUBSTITUTE(B43,"-",":"),FIND(":",SUBSTITUTE(B43,"-",":"))+1,20)),Wyniki!B43&gt;Wyniki!C43),AND(VALUE(LEFT(SUBSTITUTE(B43,"-",":"),FIND(":",SUBSTITUTE(B43,"-",":"))-1))&lt;VALUE(MID(SUBSTITUTE(B43,"-",":"),FIND(":",SUBSTITUTE(B43,"-",":"))+1,20)),Wyniki!B43&lt;Wyniki!C43),AND(VALUE(LEFT(SUBSTITUTE(B43,"-",":"),FIND(":",SUBSTITUTE(B43,"-",":"))-1))=VALUE(MID(SUBSTITUTE(B43,"-",":"),FIND(":",SUBSTITUTE(B43,"-",":"))+1,20)),Wyniki!B43=Wyniki!C43)),1,0)))</f>
        <v/>
      </c>
    </row>
    <row r="44" spans="1:3">
      <c r="A44" t="s">
        <v>75</v>
      </c>
      <c r="B44" t="s">
        <v>150</v>
      </c>
      <c r="C44" t="str">
        <f>IF(OR(B44="",Wyniki!B44="",Wyniki!C44=""),"",IF(SUBSTITUTE(B44,"-",":")=Wyniki!B44&amp;":"&amp;Wyniki!C44,3,IF(OR(AND(VALUE(LEFT(SUBSTITUTE(B44,"-",":"),FIND(":",SUBSTITUTE(B44,"-",":"))-1))&gt;VALUE(MID(SUBSTITUTE(B44,"-",":"),FIND(":",SUBSTITUTE(B44,"-",":"))+1,20)),Wyniki!B44&gt;Wyniki!C44),AND(VALUE(LEFT(SUBSTITUTE(B44,"-",":"),FIND(":",SUBSTITUTE(B44,"-",":"))-1))&lt;VALUE(MID(SUBSTITUTE(B44,"-",":"),FIND(":",SUBSTITUTE(B44,"-",":"))+1,20)),Wyniki!B44&lt;Wyniki!C44),AND(VALUE(LEFT(SUBSTITUTE(B44,"-",":"),FIND(":",SUBSTITUTE(B44,"-",":"))-1))=VALUE(MID(SUBSTITUTE(B44,"-",":"),FIND(":",SUBSTITUTE(B44,"-",":"))+1,20)),Wyniki!B44=Wyniki!C44)),1,0)))</f>
        <v/>
      </c>
    </row>
    <row r="45" spans="1:3">
      <c r="A45" t="s">
        <v>76</v>
      </c>
      <c r="B45" t="s">
        <v>121</v>
      </c>
      <c r="C45" t="str">
        <f>IF(OR(B45="",Wyniki!B45="",Wyniki!C45=""),"",IF(SUBSTITUTE(B45,"-",":")=Wyniki!B45&amp;":"&amp;Wyniki!C45,3,IF(OR(AND(VALUE(LEFT(SUBSTITUTE(B45,"-",":"),FIND(":",SUBSTITUTE(B45,"-",":"))-1))&gt;VALUE(MID(SUBSTITUTE(B45,"-",":"),FIND(":",SUBSTITUTE(B45,"-",":"))+1,20)),Wyniki!B45&gt;Wyniki!C45),AND(VALUE(LEFT(SUBSTITUTE(B45,"-",":"),FIND(":",SUBSTITUTE(B45,"-",":"))-1))&lt;VALUE(MID(SUBSTITUTE(B45,"-",":"),FIND(":",SUBSTITUTE(B45,"-",":"))+1,20)),Wyniki!B45&lt;Wyniki!C45),AND(VALUE(LEFT(SUBSTITUTE(B45,"-",":"),FIND(":",SUBSTITUTE(B45,"-",":"))-1))=VALUE(MID(SUBSTITUTE(B45,"-",":"),FIND(":",SUBSTITUTE(B45,"-",":"))+1,20)),Wyniki!B45=Wyniki!C45)),1,0)))</f>
        <v/>
      </c>
    </row>
    <row r="46" spans="1:3">
      <c r="A46" t="s">
        <v>77</v>
      </c>
      <c r="B46" t="s">
        <v>128</v>
      </c>
      <c r="C46" t="str">
        <f>IF(OR(B46="",Wyniki!B46="",Wyniki!C46=""),"",IF(SUBSTITUTE(B46,"-",":")=Wyniki!B46&amp;":"&amp;Wyniki!C46,3,IF(OR(AND(VALUE(LEFT(SUBSTITUTE(B46,"-",":"),FIND(":",SUBSTITUTE(B46,"-",":"))-1))&gt;VALUE(MID(SUBSTITUTE(B46,"-",":"),FIND(":",SUBSTITUTE(B46,"-",":"))+1,20)),Wyniki!B46&gt;Wyniki!C46),AND(VALUE(LEFT(SUBSTITUTE(B46,"-",":"),FIND(":",SUBSTITUTE(B46,"-",":"))-1))&lt;VALUE(MID(SUBSTITUTE(B46,"-",":"),FIND(":",SUBSTITUTE(B46,"-",":"))+1,20)),Wyniki!B46&lt;Wyniki!C46),AND(VALUE(LEFT(SUBSTITUTE(B46,"-",":"),FIND(":",SUBSTITUTE(B46,"-",":"))-1))=VALUE(MID(SUBSTITUTE(B46,"-",":"),FIND(":",SUBSTITUTE(B46,"-",":"))+1,20)),Wyniki!B46=Wyniki!C46)),1,0)))</f>
        <v/>
      </c>
    </row>
    <row r="47" spans="1:3">
      <c r="A47" t="s">
        <v>78</v>
      </c>
      <c r="B47" t="s">
        <v>109</v>
      </c>
      <c r="C47" t="str">
        <f>IF(OR(B47="",Wyniki!B47="",Wyniki!C47=""),"",IF(SUBSTITUTE(B47,"-",":")=Wyniki!B47&amp;":"&amp;Wyniki!C47,3,IF(OR(AND(VALUE(LEFT(SUBSTITUTE(B47,"-",":"),FIND(":",SUBSTITUTE(B47,"-",":"))-1))&gt;VALUE(MID(SUBSTITUTE(B47,"-",":"),FIND(":",SUBSTITUTE(B47,"-",":"))+1,20)),Wyniki!B47&gt;Wyniki!C47),AND(VALUE(LEFT(SUBSTITUTE(B47,"-",":"),FIND(":",SUBSTITUTE(B47,"-",":"))-1))&lt;VALUE(MID(SUBSTITUTE(B47,"-",":"),FIND(":",SUBSTITUTE(B47,"-",":"))+1,20)),Wyniki!B47&lt;Wyniki!C47),AND(VALUE(LEFT(SUBSTITUTE(B47,"-",":"),FIND(":",SUBSTITUTE(B47,"-",":"))-1))=VALUE(MID(SUBSTITUTE(B47,"-",":"),FIND(":",SUBSTITUTE(B47,"-",":"))+1,20)),Wyniki!B47=Wyniki!C47)),1,0)))</f>
        <v/>
      </c>
    </row>
    <row r="48" spans="1:3">
      <c r="A48" t="s">
        <v>79</v>
      </c>
      <c r="B48" t="s">
        <v>122</v>
      </c>
      <c r="C48" t="str">
        <f>IF(OR(B48="",Wyniki!B48="",Wyniki!C48=""),"",IF(SUBSTITUTE(B48,"-",":")=Wyniki!B48&amp;":"&amp;Wyniki!C48,3,IF(OR(AND(VALUE(LEFT(SUBSTITUTE(B48,"-",":"),FIND(":",SUBSTITUTE(B48,"-",":"))-1))&gt;VALUE(MID(SUBSTITUTE(B48,"-",":"),FIND(":",SUBSTITUTE(B48,"-",":"))+1,20)),Wyniki!B48&gt;Wyniki!C48),AND(VALUE(LEFT(SUBSTITUTE(B48,"-",":"),FIND(":",SUBSTITUTE(B48,"-",":"))-1))&lt;VALUE(MID(SUBSTITUTE(B48,"-",":"),FIND(":",SUBSTITUTE(B48,"-",":"))+1,20)),Wyniki!B48&lt;Wyniki!C48),AND(VALUE(LEFT(SUBSTITUTE(B48,"-",":"),FIND(":",SUBSTITUTE(B48,"-",":"))-1))=VALUE(MID(SUBSTITUTE(B48,"-",":"),FIND(":",SUBSTITUTE(B48,"-",":"))+1,20)),Wyniki!B48=Wyniki!C48)),1,0)))</f>
        <v/>
      </c>
    </row>
    <row r="49" spans="1:3">
      <c r="A49" t="s">
        <v>80</v>
      </c>
      <c r="B49" t="s">
        <v>112</v>
      </c>
      <c r="C49" t="str">
        <f>IF(OR(B49="",Wyniki!B49="",Wyniki!C49=""),"",IF(SUBSTITUTE(B49,"-",":")=Wyniki!B49&amp;":"&amp;Wyniki!C49,3,IF(OR(AND(VALUE(LEFT(SUBSTITUTE(B49,"-",":"),FIND(":",SUBSTITUTE(B49,"-",":"))-1))&gt;VALUE(MID(SUBSTITUTE(B49,"-",":"),FIND(":",SUBSTITUTE(B49,"-",":"))+1,20)),Wyniki!B49&gt;Wyniki!C49),AND(VALUE(LEFT(SUBSTITUTE(B49,"-",":"),FIND(":",SUBSTITUTE(B49,"-",":"))-1))&lt;VALUE(MID(SUBSTITUTE(B49,"-",":"),FIND(":",SUBSTITUTE(B49,"-",":"))+1,20)),Wyniki!B49&lt;Wyniki!C49),AND(VALUE(LEFT(SUBSTITUTE(B49,"-",":"),FIND(":",SUBSTITUTE(B49,"-",":"))-1))=VALUE(MID(SUBSTITUTE(B49,"-",":"),FIND(":",SUBSTITUTE(B49,"-",":"))+1,20)),Wyniki!B49=Wyniki!C49)),1,0)))</f>
        <v/>
      </c>
    </row>
    <row r="50" spans="1:3">
      <c r="A50" t="s">
        <v>81</v>
      </c>
      <c r="B50" t="s">
        <v>114</v>
      </c>
      <c r="C50" t="str">
        <f>IF(OR(B50="",Wyniki!B50="",Wyniki!C50=""),"",IF(SUBSTITUTE(B50,"-",":")=Wyniki!B50&amp;":"&amp;Wyniki!C50,3,IF(OR(AND(VALUE(LEFT(SUBSTITUTE(B50,"-",":"),FIND(":",SUBSTITUTE(B50,"-",":"))-1))&gt;VALUE(MID(SUBSTITUTE(B50,"-",":"),FIND(":",SUBSTITUTE(B50,"-",":"))+1,20)),Wyniki!B50&gt;Wyniki!C50),AND(VALUE(LEFT(SUBSTITUTE(B50,"-",":"),FIND(":",SUBSTITUTE(B50,"-",":"))-1))&lt;VALUE(MID(SUBSTITUTE(B50,"-",":"),FIND(":",SUBSTITUTE(B50,"-",":"))+1,20)),Wyniki!B50&lt;Wyniki!C50),AND(VALUE(LEFT(SUBSTITUTE(B50,"-",":"),FIND(":",SUBSTITUTE(B50,"-",":"))-1))=VALUE(MID(SUBSTITUTE(B50,"-",":"),FIND(":",SUBSTITUTE(B50,"-",":"))+1,20)),Wyniki!B50=Wyniki!C50)),1,0)))</f>
        <v/>
      </c>
    </row>
    <row r="51" spans="1:3">
      <c r="A51" t="s">
        <v>82</v>
      </c>
      <c r="B51" t="s">
        <v>109</v>
      </c>
      <c r="C51" t="str">
        <f>IF(OR(B51="",Wyniki!B51="",Wyniki!C51=""),"",IF(SUBSTITUTE(B51,"-",":")=Wyniki!B51&amp;":"&amp;Wyniki!C51,3,IF(OR(AND(VALUE(LEFT(SUBSTITUTE(B51,"-",":"),FIND(":",SUBSTITUTE(B51,"-",":"))-1))&gt;VALUE(MID(SUBSTITUTE(B51,"-",":"),FIND(":",SUBSTITUTE(B51,"-",":"))+1,20)),Wyniki!B51&gt;Wyniki!C51),AND(VALUE(LEFT(SUBSTITUTE(B51,"-",":"),FIND(":",SUBSTITUTE(B51,"-",":"))-1))&lt;VALUE(MID(SUBSTITUTE(B51,"-",":"),FIND(":",SUBSTITUTE(B51,"-",":"))+1,20)),Wyniki!B51&lt;Wyniki!C51),AND(VALUE(LEFT(SUBSTITUTE(B51,"-",":"),FIND(":",SUBSTITUTE(B51,"-",":"))-1))=VALUE(MID(SUBSTITUTE(B51,"-",":"),FIND(":",SUBSTITUTE(B51,"-",":"))+1,20)),Wyniki!B51=Wyniki!C51)),1,0)))</f>
        <v/>
      </c>
    </row>
    <row r="52" spans="1:3">
      <c r="A52" t="s">
        <v>83</v>
      </c>
      <c r="B52" t="s">
        <v>121</v>
      </c>
      <c r="C52" t="str">
        <f>IF(OR(B52="",Wyniki!B52="",Wyniki!C52=""),"",IF(SUBSTITUTE(B52,"-",":")=Wyniki!B52&amp;":"&amp;Wyniki!C52,3,IF(OR(AND(VALUE(LEFT(SUBSTITUTE(B52,"-",":"),FIND(":",SUBSTITUTE(B52,"-",":"))-1))&gt;VALUE(MID(SUBSTITUTE(B52,"-",":"),FIND(":",SUBSTITUTE(B52,"-",":"))+1,20)),Wyniki!B52&gt;Wyniki!C52),AND(VALUE(LEFT(SUBSTITUTE(B52,"-",":"),FIND(":",SUBSTITUTE(B52,"-",":"))-1))&lt;VALUE(MID(SUBSTITUTE(B52,"-",":"),FIND(":",SUBSTITUTE(B52,"-",":"))+1,20)),Wyniki!B52&lt;Wyniki!C52),AND(VALUE(LEFT(SUBSTITUTE(B52,"-",":"),FIND(":",SUBSTITUTE(B52,"-",":"))-1))=VALUE(MID(SUBSTITUTE(B52,"-",":"),FIND(":",SUBSTITUTE(B52,"-",":"))+1,20)),Wyniki!B52=Wyniki!C52)),1,0)))</f>
        <v/>
      </c>
    </row>
    <row r="53" spans="1:3">
      <c r="A53" t="s">
        <v>84</v>
      </c>
      <c r="B53" t="s">
        <v>116</v>
      </c>
      <c r="C53" t="str">
        <f>IF(OR(B53="",Wyniki!B53="",Wyniki!C53=""),"",IF(SUBSTITUTE(B53,"-",":")=Wyniki!B53&amp;":"&amp;Wyniki!C53,3,IF(OR(AND(VALUE(LEFT(SUBSTITUTE(B53,"-",":"),FIND(":",SUBSTITUTE(B53,"-",":"))-1))&gt;VALUE(MID(SUBSTITUTE(B53,"-",":"),FIND(":",SUBSTITUTE(B53,"-",":"))+1,20)),Wyniki!B53&gt;Wyniki!C53),AND(VALUE(LEFT(SUBSTITUTE(B53,"-",":"),FIND(":",SUBSTITUTE(B53,"-",":"))-1))&lt;VALUE(MID(SUBSTITUTE(B53,"-",":"),FIND(":",SUBSTITUTE(B53,"-",":"))+1,20)),Wyniki!B53&lt;Wyniki!C53),AND(VALUE(LEFT(SUBSTITUTE(B53,"-",":"),FIND(":",SUBSTITUTE(B53,"-",":"))-1))=VALUE(MID(SUBSTITUTE(B53,"-",":"),FIND(":",SUBSTITUTE(B53,"-",":"))+1,20)),Wyniki!B53=Wyniki!C53)),1,0)))</f>
        <v/>
      </c>
    </row>
    <row r="54" spans="1:3">
      <c r="A54" t="s">
        <v>85</v>
      </c>
      <c r="B54" t="s">
        <v>121</v>
      </c>
      <c r="C54" t="str">
        <f>IF(OR(B54="",Wyniki!B54="",Wyniki!C54=""),"",IF(SUBSTITUTE(B54,"-",":")=Wyniki!B54&amp;":"&amp;Wyniki!C54,3,IF(OR(AND(VALUE(LEFT(SUBSTITUTE(B54,"-",":"),FIND(":",SUBSTITUTE(B54,"-",":"))-1))&gt;VALUE(MID(SUBSTITUTE(B54,"-",":"),FIND(":",SUBSTITUTE(B54,"-",":"))+1,20)),Wyniki!B54&gt;Wyniki!C54),AND(VALUE(LEFT(SUBSTITUTE(B54,"-",":"),FIND(":",SUBSTITUTE(B54,"-",":"))-1))&lt;VALUE(MID(SUBSTITUTE(B54,"-",":"),FIND(":",SUBSTITUTE(B54,"-",":"))+1,20)),Wyniki!B54&lt;Wyniki!C54),AND(VALUE(LEFT(SUBSTITUTE(B54,"-",":"),FIND(":",SUBSTITUTE(B54,"-",":"))-1))=VALUE(MID(SUBSTITUTE(B54,"-",":"),FIND(":",SUBSTITUTE(B54,"-",":"))+1,20)),Wyniki!B54=Wyniki!C54)),1,0)))</f>
        <v/>
      </c>
    </row>
    <row r="55" spans="1:3">
      <c r="A55" t="s">
        <v>86</v>
      </c>
      <c r="B55" t="s">
        <v>122</v>
      </c>
      <c r="C55" t="str">
        <f>IF(OR(B55="",Wyniki!B55="",Wyniki!C55=""),"",IF(SUBSTITUTE(B55,"-",":")=Wyniki!B55&amp;":"&amp;Wyniki!C55,3,IF(OR(AND(VALUE(LEFT(SUBSTITUTE(B55,"-",":"),FIND(":",SUBSTITUTE(B55,"-",":"))-1))&gt;VALUE(MID(SUBSTITUTE(B55,"-",":"),FIND(":",SUBSTITUTE(B55,"-",":"))+1,20)),Wyniki!B55&gt;Wyniki!C55),AND(VALUE(LEFT(SUBSTITUTE(B55,"-",":"),FIND(":",SUBSTITUTE(B55,"-",":"))-1))&lt;VALUE(MID(SUBSTITUTE(B55,"-",":"),FIND(":",SUBSTITUTE(B55,"-",":"))+1,20)),Wyniki!B55&lt;Wyniki!C55),AND(VALUE(LEFT(SUBSTITUTE(B55,"-",":"),FIND(":",SUBSTITUTE(B55,"-",":"))-1))=VALUE(MID(SUBSTITUTE(B55,"-",":"),FIND(":",SUBSTITUTE(B55,"-",":"))+1,20)),Wyniki!B55=Wyniki!C55)),1,0)))</f>
        <v/>
      </c>
    </row>
    <row r="56" spans="1:3">
      <c r="A56" t="s">
        <v>87</v>
      </c>
      <c r="B56" t="s">
        <v>173</v>
      </c>
      <c r="C56" t="str">
        <f>IF(OR(B56="",Wyniki!B56="",Wyniki!C56=""),"",IF(SUBSTITUTE(B56,"-",":")=Wyniki!B56&amp;":"&amp;Wyniki!C56,3,IF(OR(AND(VALUE(LEFT(SUBSTITUTE(B56,"-",":"),FIND(":",SUBSTITUTE(B56,"-",":"))-1))&gt;VALUE(MID(SUBSTITUTE(B56,"-",":"),FIND(":",SUBSTITUTE(B56,"-",":"))+1,20)),Wyniki!B56&gt;Wyniki!C56),AND(VALUE(LEFT(SUBSTITUTE(B56,"-",":"),FIND(":",SUBSTITUTE(B56,"-",":"))-1))&lt;VALUE(MID(SUBSTITUTE(B56,"-",":"),FIND(":",SUBSTITUTE(B56,"-",":"))+1,20)),Wyniki!B56&lt;Wyniki!C56),AND(VALUE(LEFT(SUBSTITUTE(B56,"-",":"),FIND(":",SUBSTITUTE(B56,"-",":"))-1))=VALUE(MID(SUBSTITUTE(B56,"-",":"),FIND(":",SUBSTITUTE(B56,"-",":"))+1,20)),Wyniki!B56=Wyniki!C56)),1,0)))</f>
        <v/>
      </c>
    </row>
    <row r="57" spans="1:3">
      <c r="A57" t="s">
        <v>88</v>
      </c>
      <c r="B57" t="s">
        <v>119</v>
      </c>
      <c r="C57" t="str">
        <f>IF(OR(B57="",Wyniki!B57="",Wyniki!C57=""),"",IF(SUBSTITUTE(B57,"-",":")=Wyniki!B57&amp;":"&amp;Wyniki!C57,3,IF(OR(AND(VALUE(LEFT(SUBSTITUTE(B57,"-",":"),FIND(":",SUBSTITUTE(B57,"-",":"))-1))&gt;VALUE(MID(SUBSTITUTE(B57,"-",":"),FIND(":",SUBSTITUTE(B57,"-",":"))+1,20)),Wyniki!B57&gt;Wyniki!C57),AND(VALUE(LEFT(SUBSTITUTE(B57,"-",":"),FIND(":",SUBSTITUTE(B57,"-",":"))-1))&lt;VALUE(MID(SUBSTITUTE(B57,"-",":"),FIND(":",SUBSTITUTE(B57,"-",":"))+1,20)),Wyniki!B57&lt;Wyniki!C57),AND(VALUE(LEFT(SUBSTITUTE(B57,"-",":"),FIND(":",SUBSTITUTE(B57,"-",":"))-1))=VALUE(MID(SUBSTITUTE(B57,"-",":"),FIND(":",SUBSTITUTE(B57,"-",":"))+1,20)),Wyniki!B57=Wyniki!C57)),1,0)))</f>
        <v/>
      </c>
    </row>
    <row r="58" spans="1:3">
      <c r="A58" t="s">
        <v>89</v>
      </c>
      <c r="B58" t="s">
        <v>114</v>
      </c>
      <c r="C58" t="str">
        <f>IF(OR(B58="",Wyniki!B58="",Wyniki!C58=""),"",IF(SUBSTITUTE(B58,"-",":")=Wyniki!B58&amp;":"&amp;Wyniki!C58,3,IF(OR(AND(VALUE(LEFT(SUBSTITUTE(B58,"-",":"),FIND(":",SUBSTITUTE(B58,"-",":"))-1))&gt;VALUE(MID(SUBSTITUTE(B58,"-",":"),FIND(":",SUBSTITUTE(B58,"-",":"))+1,20)),Wyniki!B58&gt;Wyniki!C58),AND(VALUE(LEFT(SUBSTITUTE(B58,"-",":"),FIND(":",SUBSTITUTE(B58,"-",":"))-1))&lt;VALUE(MID(SUBSTITUTE(B58,"-",":"),FIND(":",SUBSTITUTE(B58,"-",":"))+1,20)),Wyniki!B58&lt;Wyniki!C58),AND(VALUE(LEFT(SUBSTITUTE(B58,"-",":"),FIND(":",SUBSTITUTE(B58,"-",":"))-1))=VALUE(MID(SUBSTITUTE(B58,"-",":"),FIND(":",SUBSTITUTE(B58,"-",":"))+1,20)),Wyniki!B58=Wyniki!C58)),1,0)))</f>
        <v/>
      </c>
    </row>
    <row r="59" spans="1:3">
      <c r="A59" t="s">
        <v>90</v>
      </c>
      <c r="B59" t="s">
        <v>121</v>
      </c>
      <c r="C59" t="str">
        <f>IF(OR(B59="",Wyniki!B59="",Wyniki!C59=""),"",IF(SUBSTITUTE(B59,"-",":")=Wyniki!B59&amp;":"&amp;Wyniki!C59,3,IF(OR(AND(VALUE(LEFT(SUBSTITUTE(B59,"-",":"),FIND(":",SUBSTITUTE(B59,"-",":"))-1))&gt;VALUE(MID(SUBSTITUTE(B59,"-",":"),FIND(":",SUBSTITUTE(B59,"-",":"))+1,20)),Wyniki!B59&gt;Wyniki!C59),AND(VALUE(LEFT(SUBSTITUTE(B59,"-",":"),FIND(":",SUBSTITUTE(B59,"-",":"))-1))&lt;VALUE(MID(SUBSTITUTE(B59,"-",":"),FIND(":",SUBSTITUTE(B59,"-",":"))+1,20)),Wyniki!B59&lt;Wyniki!C59),AND(VALUE(LEFT(SUBSTITUTE(B59,"-",":"),FIND(":",SUBSTITUTE(B59,"-",":"))-1))=VALUE(MID(SUBSTITUTE(B59,"-",":"),FIND(":",SUBSTITUTE(B59,"-",":"))+1,20)),Wyniki!B59=Wyniki!C59)),1,0)))</f>
        <v/>
      </c>
    </row>
    <row r="60" spans="1:3">
      <c r="A60" t="s">
        <v>91</v>
      </c>
      <c r="B60" t="s">
        <v>127</v>
      </c>
      <c r="C60" t="str">
        <f>IF(OR(B60="",Wyniki!B60="",Wyniki!C60=""),"",IF(SUBSTITUTE(B60,"-",":")=Wyniki!B60&amp;":"&amp;Wyniki!C60,3,IF(OR(AND(VALUE(LEFT(SUBSTITUTE(B60,"-",":"),FIND(":",SUBSTITUTE(B60,"-",":"))-1))&gt;VALUE(MID(SUBSTITUTE(B60,"-",":"),FIND(":",SUBSTITUTE(B60,"-",":"))+1,20)),Wyniki!B60&gt;Wyniki!C60),AND(VALUE(LEFT(SUBSTITUTE(B60,"-",":"),FIND(":",SUBSTITUTE(B60,"-",":"))-1))&lt;VALUE(MID(SUBSTITUTE(B60,"-",":"),FIND(":",SUBSTITUTE(B60,"-",":"))+1,20)),Wyniki!B60&lt;Wyniki!C60),AND(VALUE(LEFT(SUBSTITUTE(B60,"-",":"),FIND(":",SUBSTITUTE(B60,"-",":"))-1))=VALUE(MID(SUBSTITUTE(B60,"-",":"),FIND(":",SUBSTITUTE(B60,"-",":"))+1,20)),Wyniki!B60=Wyniki!C60)),1,0)))</f>
        <v/>
      </c>
    </row>
    <row r="61" spans="1:3">
      <c r="A61" t="s">
        <v>92</v>
      </c>
      <c r="B61" t="s">
        <v>121</v>
      </c>
      <c r="C61" t="str">
        <f>IF(OR(B61="",Wyniki!B61="",Wyniki!C61=""),"",IF(SUBSTITUTE(B61,"-",":")=Wyniki!B61&amp;":"&amp;Wyniki!C61,3,IF(OR(AND(VALUE(LEFT(SUBSTITUTE(B61,"-",":"),FIND(":",SUBSTITUTE(B61,"-",":"))-1))&gt;VALUE(MID(SUBSTITUTE(B61,"-",":"),FIND(":",SUBSTITUTE(B61,"-",":"))+1,20)),Wyniki!B61&gt;Wyniki!C61),AND(VALUE(LEFT(SUBSTITUTE(B61,"-",":"),FIND(":",SUBSTITUTE(B61,"-",":"))-1))&lt;VALUE(MID(SUBSTITUTE(B61,"-",":"),FIND(":",SUBSTITUTE(B61,"-",":"))+1,20)),Wyniki!B61&lt;Wyniki!C61),AND(VALUE(LEFT(SUBSTITUTE(B61,"-",":"),FIND(":",SUBSTITUTE(B61,"-",":"))-1))=VALUE(MID(SUBSTITUTE(B61,"-",":"),FIND(":",SUBSTITUTE(B61,"-",":"))+1,20)),Wyniki!B61=Wyniki!C61)),1,0)))</f>
        <v/>
      </c>
    </row>
    <row r="62" spans="1:3">
      <c r="A62" t="s">
        <v>93</v>
      </c>
      <c r="B62" t="s">
        <v>114</v>
      </c>
      <c r="C62" t="str">
        <f>IF(OR(B62="",Wyniki!B62="",Wyniki!C62=""),"",IF(SUBSTITUTE(B62,"-",":")=Wyniki!B62&amp;":"&amp;Wyniki!C62,3,IF(OR(AND(VALUE(LEFT(SUBSTITUTE(B62,"-",":"),FIND(":",SUBSTITUTE(B62,"-",":"))-1))&gt;VALUE(MID(SUBSTITUTE(B62,"-",":"),FIND(":",SUBSTITUTE(B62,"-",":"))+1,20)),Wyniki!B62&gt;Wyniki!C62),AND(VALUE(LEFT(SUBSTITUTE(B62,"-",":"),FIND(":",SUBSTITUTE(B62,"-",":"))-1))&lt;VALUE(MID(SUBSTITUTE(B62,"-",":"),FIND(":",SUBSTITUTE(B62,"-",":"))+1,20)),Wyniki!B62&lt;Wyniki!C62),AND(VALUE(LEFT(SUBSTITUTE(B62,"-",":"),FIND(":",SUBSTITUTE(B62,"-",":"))-1))=VALUE(MID(SUBSTITUTE(B62,"-",":"),FIND(":",SUBSTITUTE(B62,"-",":"))+1,20)),Wyniki!B62=Wyniki!C62)),1,0)))</f>
        <v/>
      </c>
    </row>
    <row r="63" spans="1:3">
      <c r="A63" t="s">
        <v>94</v>
      </c>
      <c r="B63" t="s">
        <v>109</v>
      </c>
      <c r="C63" t="str">
        <f>IF(OR(B63="",Wyniki!B63="",Wyniki!C63=""),"",IF(SUBSTITUTE(B63,"-",":")=Wyniki!B63&amp;":"&amp;Wyniki!C63,3,IF(OR(AND(VALUE(LEFT(SUBSTITUTE(B63,"-",":"),FIND(":",SUBSTITUTE(B63,"-",":"))-1))&gt;VALUE(MID(SUBSTITUTE(B63,"-",":"),FIND(":",SUBSTITUTE(B63,"-",":"))+1,20)),Wyniki!B63&gt;Wyniki!C63),AND(VALUE(LEFT(SUBSTITUTE(B63,"-",":"),FIND(":",SUBSTITUTE(B63,"-",":"))-1))&lt;VALUE(MID(SUBSTITUTE(B63,"-",":"),FIND(":",SUBSTITUTE(B63,"-",":"))+1,20)),Wyniki!B63&lt;Wyniki!C63),AND(VALUE(LEFT(SUBSTITUTE(B63,"-",":"),FIND(":",SUBSTITUTE(B63,"-",":"))-1))=VALUE(MID(SUBSTITUTE(B63,"-",":"),FIND(":",SUBSTITUTE(B63,"-",":"))+1,20)),Wyniki!B63=Wyniki!C63)),1,0)))</f>
        <v/>
      </c>
    </row>
    <row r="64" spans="1:3">
      <c r="A64" t="s">
        <v>95</v>
      </c>
      <c r="B64" t="s">
        <v>122</v>
      </c>
      <c r="C64" t="str">
        <f>IF(OR(B64="",Wyniki!B64="",Wyniki!C64=""),"",IF(SUBSTITUTE(B64,"-",":")=Wyniki!B64&amp;":"&amp;Wyniki!C64,3,IF(OR(AND(VALUE(LEFT(SUBSTITUTE(B64,"-",":"),FIND(":",SUBSTITUTE(B64,"-",":"))-1))&gt;VALUE(MID(SUBSTITUTE(B64,"-",":"),FIND(":",SUBSTITUTE(B64,"-",":"))+1,20)),Wyniki!B64&gt;Wyniki!C64),AND(VALUE(LEFT(SUBSTITUTE(B64,"-",":"),FIND(":",SUBSTITUTE(B64,"-",":"))-1))&lt;VALUE(MID(SUBSTITUTE(B64,"-",":"),FIND(":",SUBSTITUTE(B64,"-",":"))+1,20)),Wyniki!B64&lt;Wyniki!C64),AND(VALUE(LEFT(SUBSTITUTE(B64,"-",":"),FIND(":",SUBSTITUTE(B64,"-",":"))-1))=VALUE(MID(SUBSTITUTE(B64,"-",":"),FIND(":",SUBSTITUTE(B64,"-",":"))+1,20)),Wyniki!B64=Wyniki!C64)),1,0)))</f>
        <v/>
      </c>
    </row>
    <row r="65" spans="1:4">
      <c r="A65" t="s">
        <v>96</v>
      </c>
      <c r="B65" t="s">
        <v>119</v>
      </c>
      <c r="C65" t="str">
        <f>IF(OR(B65="",Wyniki!B65="",Wyniki!C65=""),"",IF(SUBSTITUTE(B65,"-",":")=Wyniki!B65&amp;":"&amp;Wyniki!C65,3,IF(OR(AND(VALUE(LEFT(SUBSTITUTE(B65,"-",":"),FIND(":",SUBSTITUTE(B65,"-",":"))-1))&gt;VALUE(MID(SUBSTITUTE(B65,"-",":"),FIND(":",SUBSTITUTE(B65,"-",":"))+1,20)),Wyniki!B65&gt;Wyniki!C65),AND(VALUE(LEFT(SUBSTITUTE(B65,"-",":"),FIND(":",SUBSTITUTE(B65,"-",":"))-1))&lt;VALUE(MID(SUBSTITUTE(B65,"-",":"),FIND(":",SUBSTITUTE(B65,"-",":"))+1,20)),Wyniki!B65&lt;Wyniki!C65),AND(VALUE(LEFT(SUBSTITUTE(B65,"-",":"),FIND(":",SUBSTITUTE(B65,"-",":"))-1))=VALUE(MID(SUBSTITUTE(B65,"-",":"),FIND(":",SUBSTITUTE(B65,"-",":"))+1,20)),Wyniki!B65=Wyniki!C65)),1,0)))</f>
        <v/>
      </c>
    </row>
    <row r="66" spans="1:4">
      <c r="A66" t="s">
        <v>97</v>
      </c>
      <c r="B66" t="s">
        <v>110</v>
      </c>
      <c r="C66" t="str">
        <f>IF(OR(B66="",Wyniki!B66="",Wyniki!C66=""),"",IF(SUBSTITUTE(B66,"-",":")=Wyniki!B66&amp;":"&amp;Wyniki!C66,3,IF(OR(AND(VALUE(LEFT(SUBSTITUTE(B66,"-",":"),FIND(":",SUBSTITUTE(B66,"-",":"))-1))&gt;VALUE(MID(SUBSTITUTE(B66,"-",":"),FIND(":",SUBSTITUTE(B66,"-",":"))+1,20)),Wyniki!B66&gt;Wyniki!C66),AND(VALUE(LEFT(SUBSTITUTE(B66,"-",":"),FIND(":",SUBSTITUTE(B66,"-",":"))-1))&lt;VALUE(MID(SUBSTITUTE(B66,"-",":"),FIND(":",SUBSTITUTE(B66,"-",":"))+1,20)),Wyniki!B66&lt;Wyniki!C66),AND(VALUE(LEFT(SUBSTITUTE(B66,"-",":"),FIND(":",SUBSTITUTE(B66,"-",":"))-1))=VALUE(MID(SUBSTITUTE(B66,"-",":"),FIND(":",SUBSTITUTE(B66,"-",":"))+1,20)),Wyniki!B66=Wyniki!C66)),1,0)))</f>
        <v/>
      </c>
    </row>
    <row r="67" spans="1:4">
      <c r="A67" t="s">
        <v>98</v>
      </c>
      <c r="B67" t="s">
        <v>119</v>
      </c>
      <c r="C67" t="str">
        <f>IF(OR(B67="",Wyniki!B67="",Wyniki!C67=""),"",IF(SUBSTITUTE(B67,"-",":")=Wyniki!B67&amp;":"&amp;Wyniki!C67,3,IF(OR(AND(VALUE(LEFT(SUBSTITUTE(B67,"-",":"),FIND(":",SUBSTITUTE(B67,"-",":"))-1))&gt;VALUE(MID(SUBSTITUTE(B67,"-",":"),FIND(":",SUBSTITUTE(B67,"-",":"))+1,20)),Wyniki!B67&gt;Wyniki!C67),AND(VALUE(LEFT(SUBSTITUTE(B67,"-",":"),FIND(":",SUBSTITUTE(B67,"-",":"))-1))&lt;VALUE(MID(SUBSTITUTE(B67,"-",":"),FIND(":",SUBSTITUTE(B67,"-",":"))+1,20)),Wyniki!B67&lt;Wyniki!C67),AND(VALUE(LEFT(SUBSTITUTE(B67,"-",":"),FIND(":",SUBSTITUTE(B67,"-",":"))-1))=VALUE(MID(SUBSTITUTE(B67,"-",":"),FIND(":",SUBSTITUTE(B67,"-",":"))+1,20)),Wyniki!B67=Wyniki!C67)),1,0)))</f>
        <v/>
      </c>
    </row>
    <row r="68" spans="1:4">
      <c r="A68" t="s">
        <v>99</v>
      </c>
      <c r="B68" t="s">
        <v>175</v>
      </c>
      <c r="C68" t="str">
        <f>IF(OR(B68="",Wyniki!B68="",Wyniki!C68=""),"",IF(SUBSTITUTE(B68,"-",":")=Wyniki!B68&amp;":"&amp;Wyniki!C68,3,IF(OR(AND(VALUE(LEFT(SUBSTITUTE(B68,"-",":"),FIND(":",SUBSTITUTE(B68,"-",":"))-1))&gt;VALUE(MID(SUBSTITUTE(B68,"-",":"),FIND(":",SUBSTITUTE(B68,"-",":"))+1,20)),Wyniki!B68&gt;Wyniki!C68),AND(VALUE(LEFT(SUBSTITUTE(B68,"-",":"),FIND(":",SUBSTITUTE(B68,"-",":"))-1))&lt;VALUE(MID(SUBSTITUTE(B68,"-",":"),FIND(":",SUBSTITUTE(B68,"-",":"))+1,20)),Wyniki!B68&lt;Wyniki!C68),AND(VALUE(LEFT(SUBSTITUTE(B68,"-",":"),FIND(":",SUBSTITUTE(B68,"-",":"))-1))=VALUE(MID(SUBSTITUTE(B68,"-",":"),FIND(":",SUBSTITUTE(B68,"-",":"))+1,20)),Wyniki!B68=Wyniki!C68)),1,0)))</f>
        <v/>
      </c>
    </row>
    <row r="69" spans="1:4">
      <c r="A69" t="s">
        <v>100</v>
      </c>
      <c r="B69" t="s">
        <v>109</v>
      </c>
      <c r="C69" t="str">
        <f>IF(OR(B69="",Wyniki!B69="",Wyniki!C69=""),"",IF(SUBSTITUTE(B69,"-",":")=Wyniki!B69&amp;":"&amp;Wyniki!C69,3,IF(OR(AND(VALUE(LEFT(SUBSTITUTE(B69,"-",":"),FIND(":",SUBSTITUTE(B69,"-",":"))-1))&gt;VALUE(MID(SUBSTITUTE(B69,"-",":"),FIND(":",SUBSTITUTE(B69,"-",":"))+1,20)),Wyniki!B69&gt;Wyniki!C69),AND(VALUE(LEFT(SUBSTITUTE(B69,"-",":"),FIND(":",SUBSTITUTE(B69,"-",":"))-1))&lt;VALUE(MID(SUBSTITUTE(B69,"-",":"),FIND(":",SUBSTITUTE(B69,"-",":"))+1,20)),Wyniki!B69&lt;Wyniki!C69),AND(VALUE(LEFT(SUBSTITUTE(B69,"-",":"),FIND(":",SUBSTITUTE(B69,"-",":"))-1))=VALUE(MID(SUBSTITUTE(B69,"-",":"),FIND(":",SUBSTITUTE(B69,"-",":"))+1,20)),Wyniki!B69=Wyniki!C69)),1,0)))</f>
        <v/>
      </c>
    </row>
    <row r="70" spans="1:4">
      <c r="A70" t="s">
        <v>101</v>
      </c>
      <c r="B70" t="s">
        <v>127</v>
      </c>
      <c r="C70" t="str">
        <f>IF(OR(B70="",Wyniki!B70="",Wyniki!C70=""),"",IF(SUBSTITUTE(B70,"-",":")=Wyniki!B70&amp;":"&amp;Wyniki!C70,3,IF(OR(AND(VALUE(LEFT(SUBSTITUTE(B70,"-",":"),FIND(":",SUBSTITUTE(B70,"-",":"))-1))&gt;VALUE(MID(SUBSTITUTE(B70,"-",":"),FIND(":",SUBSTITUTE(B70,"-",":"))+1,20)),Wyniki!B70&gt;Wyniki!C70),AND(VALUE(LEFT(SUBSTITUTE(B70,"-",":"),FIND(":",SUBSTITUTE(B70,"-",":"))-1))&lt;VALUE(MID(SUBSTITUTE(B70,"-",":"),FIND(":",SUBSTITUTE(B70,"-",":"))+1,20)),Wyniki!B70&lt;Wyniki!C70),AND(VALUE(LEFT(SUBSTITUTE(B70,"-",":"),FIND(":",SUBSTITUTE(B70,"-",":"))-1))=VALUE(MID(SUBSTITUTE(B70,"-",":"),FIND(":",SUBSTITUTE(B70,"-",":"))+1,20)),Wyniki!B70=Wyniki!C70)),1,0)))</f>
        <v/>
      </c>
    </row>
    <row r="71" spans="1:4">
      <c r="A71" t="s">
        <v>102</v>
      </c>
      <c r="B71" t="s">
        <v>122</v>
      </c>
      <c r="C71" t="str">
        <f>IF(OR(B71="",Wyniki!B71="",Wyniki!C71=""),"",IF(SUBSTITUTE(B71,"-",":")=Wyniki!B71&amp;":"&amp;Wyniki!C71,3,IF(OR(AND(VALUE(LEFT(SUBSTITUTE(B71,"-",":"),FIND(":",SUBSTITUTE(B71,"-",":"))-1))&gt;VALUE(MID(SUBSTITUTE(B71,"-",":"),FIND(":",SUBSTITUTE(B71,"-",":"))+1,20)),Wyniki!B71&gt;Wyniki!C71),AND(VALUE(LEFT(SUBSTITUTE(B71,"-",":"),FIND(":",SUBSTITUTE(B71,"-",":"))-1))&lt;VALUE(MID(SUBSTITUTE(B71,"-",":"),FIND(":",SUBSTITUTE(B71,"-",":"))+1,20)),Wyniki!B71&lt;Wyniki!C71),AND(VALUE(LEFT(SUBSTITUTE(B71,"-",":"),FIND(":",SUBSTITUTE(B71,"-",":"))-1))=VALUE(MID(SUBSTITUTE(B71,"-",":"),FIND(":",SUBSTITUTE(B71,"-",":"))+1,20)),Wyniki!B71=Wyniki!C71)),1,0)))</f>
        <v/>
      </c>
    </row>
    <row r="72" spans="1:4">
      <c r="A72" t="s">
        <v>103</v>
      </c>
      <c r="B72" t="s">
        <v>121</v>
      </c>
      <c r="C72" t="str">
        <f>IF(OR(B72="",Wyniki!B72="",Wyniki!C72=""),"",IF(SUBSTITUTE(B72,"-",":")=Wyniki!B72&amp;":"&amp;Wyniki!C72,3,IF(OR(AND(VALUE(LEFT(SUBSTITUTE(B72,"-",":"),FIND(":",SUBSTITUTE(B72,"-",":"))-1))&gt;VALUE(MID(SUBSTITUTE(B72,"-",":"),FIND(":",SUBSTITUTE(B72,"-",":"))+1,20)),Wyniki!B72&gt;Wyniki!C72),AND(VALUE(LEFT(SUBSTITUTE(B72,"-",":"),FIND(":",SUBSTITUTE(B72,"-",":"))-1))&lt;VALUE(MID(SUBSTITUTE(B72,"-",":"),FIND(":",SUBSTITUTE(B72,"-",":"))+1,20)),Wyniki!B72&lt;Wyniki!C72),AND(VALUE(LEFT(SUBSTITUTE(B72,"-",":"),FIND(":",SUBSTITUTE(B72,"-",":"))-1))=VALUE(MID(SUBSTITUTE(B72,"-",":"),FIND(":",SUBSTITUTE(B72,"-",":"))+1,20)),Wyniki!B72=Wyniki!C72)),1,0)))</f>
        <v/>
      </c>
    </row>
    <row r="73" spans="1:4">
      <c r="A73" t="s">
        <v>104</v>
      </c>
      <c r="B73" t="s">
        <v>122</v>
      </c>
      <c r="C73" t="str">
        <f>IF(OR(B73="",Wyniki!B73="",Wyniki!C73=""),"",IF(SUBSTITUTE(B73,"-",":")=Wyniki!B73&amp;":"&amp;Wyniki!C73,3,IF(OR(AND(VALUE(LEFT(SUBSTITUTE(B73,"-",":"),FIND(":",SUBSTITUTE(B73,"-",":"))-1))&gt;VALUE(MID(SUBSTITUTE(B73,"-",":"),FIND(":",SUBSTITUTE(B73,"-",":"))+1,20)),Wyniki!B73&gt;Wyniki!C73),AND(VALUE(LEFT(SUBSTITUTE(B73,"-",":"),FIND(":",SUBSTITUTE(B73,"-",":"))-1))&lt;VALUE(MID(SUBSTITUTE(B73,"-",":"),FIND(":",SUBSTITUTE(B73,"-",":"))+1,20)),Wyniki!B73&lt;Wyniki!C73),AND(VALUE(LEFT(SUBSTITUTE(B73,"-",":"),FIND(":",SUBSTITUTE(B73,"-",":"))-1))=VALUE(MID(SUBSTITUTE(B73,"-",":"),FIND(":",SUBSTITUTE(B73,"-",":"))+1,20)),Wyniki!B73=Wyniki!C73)),1,0)))</f>
        <v/>
      </c>
    </row>
    <row r="74" spans="1:4">
      <c r="B74" s="5"/>
      <c r="C74" t="s">
        <v>123</v>
      </c>
      <c r="D74">
        <f>SUM(C2:C73)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34</vt:i4>
      </vt:variant>
    </vt:vector>
  </HeadingPairs>
  <TitlesOfParts>
    <vt:vector size="34" baseType="lpstr">
      <vt:lpstr>Ranking</vt:lpstr>
      <vt:lpstr>Typy_Zbiorcze</vt:lpstr>
      <vt:lpstr>Wyniki</vt:lpstr>
      <vt:lpstr>Karolek Asi</vt:lpstr>
      <vt:lpstr>Janusz Soko</vt:lpstr>
      <vt:lpstr>Michał Klaudii</vt:lpstr>
      <vt:lpstr>Monika Soko</vt:lpstr>
      <vt:lpstr>Adam</vt:lpstr>
      <vt:lpstr>Ola L</vt:lpstr>
      <vt:lpstr>Ola R</vt:lpstr>
      <vt:lpstr>Anita</vt:lpstr>
      <vt:lpstr>Agata</vt:lpstr>
      <vt:lpstr>Bartosz</vt:lpstr>
      <vt:lpstr>Dominika</vt:lpstr>
      <vt:lpstr>Ela G</vt:lpstr>
      <vt:lpstr>Ela S</vt:lpstr>
      <vt:lpstr>Asia</vt:lpstr>
      <vt:lpstr>Kasia D</vt:lpstr>
      <vt:lpstr>Kasia K</vt:lpstr>
      <vt:lpstr>Karol K</vt:lpstr>
      <vt:lpstr>Klaudia</vt:lpstr>
      <vt:lpstr>Magdalena</vt:lpstr>
      <vt:lpstr>Marzena</vt:lpstr>
      <vt:lpstr>Marta</vt:lpstr>
      <vt:lpstr>Instrukcja</vt:lpstr>
      <vt:lpstr>Monika SP</vt:lpstr>
      <vt:lpstr>Maja</vt:lpstr>
      <vt:lpstr>Paweł J</vt:lpstr>
      <vt:lpstr>Przemek</vt:lpstr>
      <vt:lpstr>Paweł P</vt:lpstr>
      <vt:lpstr>Paulina</vt:lpstr>
      <vt:lpstr>Sylwia G</vt:lpstr>
      <vt:lpstr>Sylwia CRS</vt:lpstr>
      <vt:lpstr>Vadym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Biuro</cp:lastModifiedBy>
  <dcterms:created xsi:type="dcterms:W3CDTF">2026-05-21T20:02:39Z</dcterms:created>
  <dcterms:modified xsi:type="dcterms:W3CDTF">2026-06-12T10:35:49Z</dcterms:modified>
</cp:coreProperties>
</file>